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opilane\Downloads\"/>
    </mc:Choice>
  </mc:AlternateContent>
  <xr:revisionPtr revIDLastSave="0" documentId="13_ncr:1_{D910FA55-DEDA-4B7C-BCC9-BEDAC593437D}" xr6:coauthVersionLast="36" xr6:coauthVersionMax="36" xr10:uidLastSave="{00000000-0000-0000-0000-000000000000}"/>
  <bookViews>
    <workbookView xWindow="0" yWindow="0" windowWidth="38400" windowHeight="17175" xr2:uid="{00000000-000D-0000-FFFF-FFFF00000000}"/>
  </bookViews>
  <sheets>
    <sheet name="Ülesanne " sheetId="33" r:id="rId1"/>
    <sheet name="Variandid " sheetId="32" r:id="rId2"/>
    <sheet name="Töötajad" sheetId="31" r:id="rId3"/>
    <sheet name="Lisa" sheetId="28" r:id="rId4"/>
  </sheets>
  <calcPr calcId="191029"/>
</workbook>
</file>

<file path=xl/calcChain.xml><?xml version="1.0" encoding="utf-8"?>
<calcChain xmlns="http://schemas.openxmlformats.org/spreadsheetml/2006/main">
  <c r="C15" i="28" l="1"/>
  <c r="C14" i="28"/>
  <c r="C13" i="28"/>
  <c r="C12" i="28"/>
  <c r="C11" i="28"/>
  <c r="C10" i="28"/>
  <c r="C9" i="28"/>
  <c r="C8" i="28"/>
  <c r="C7" i="28"/>
  <c r="C6" i="28"/>
  <c r="C5" i="28"/>
  <c r="C4" i="28"/>
  <c r="C3" i="28"/>
  <c r="A5" i="32"/>
  <c r="A7" i="32" s="1"/>
  <c r="A9" i="32" s="1"/>
  <c r="A11" i="32" s="1"/>
  <c r="A13" i="32" s="1"/>
  <c r="A15" i="32" s="1"/>
  <c r="A17" i="32" s="1"/>
  <c r="A19" i="32" s="1"/>
  <c r="A21" i="32" s="1"/>
  <c r="A23" i="32" s="1"/>
  <c r="A25" i="32" s="1"/>
  <c r="A27" i="32" s="1"/>
  <c r="A29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Mironova</author>
  </authors>
  <commentList>
    <comment ref="A1" authorId="0" shapeId="0" xr:uid="{00000000-0006-0000-0100-000001000000}">
      <text>
        <r>
          <rPr>
            <sz val="12"/>
            <color indexed="81"/>
            <rFont val="Tahoma"/>
            <family val="2"/>
            <charset val="204"/>
          </rPr>
          <t xml:space="preserve">Ülesanne variant arvutada valemi järgi </t>
        </r>
        <r>
          <rPr>
            <i/>
            <sz val="12"/>
            <color indexed="81"/>
            <rFont val="Tahoma"/>
            <family val="2"/>
            <charset val="204"/>
          </rPr>
          <t>=MOD(XX; 20)</t>
        </r>
        <r>
          <rPr>
            <sz val="12"/>
            <color indexed="81"/>
            <rFont val="Tahoma"/>
            <family val="2"/>
            <charset val="204"/>
          </rPr>
          <t xml:space="preserve">, kus XX - kaks viimast kasutajanime numbrit 
</t>
        </r>
      </text>
    </comment>
  </commentList>
</comments>
</file>

<file path=xl/sharedStrings.xml><?xml version="1.0" encoding="utf-8"?>
<sst xmlns="http://schemas.openxmlformats.org/spreadsheetml/2006/main" count="1048" uniqueCount="456">
  <si>
    <t>Isikukood</t>
  </si>
  <si>
    <t>Eesnimi</t>
  </si>
  <si>
    <t>Perenimi</t>
  </si>
  <si>
    <t>Osakond</t>
  </si>
  <si>
    <t>Amet</t>
  </si>
  <si>
    <t>Palk</t>
  </si>
  <si>
    <t>Karl</t>
  </si>
  <si>
    <t>Agur</t>
  </si>
  <si>
    <t>Tootmine</t>
  </si>
  <si>
    <t>tööline</t>
  </si>
  <si>
    <t>Helen</t>
  </si>
  <si>
    <t>Aigro</t>
  </si>
  <si>
    <t>Müük</t>
  </si>
  <si>
    <t>sekretär</t>
  </si>
  <si>
    <t>Erki</t>
  </si>
  <si>
    <t>Ainsaar</t>
  </si>
  <si>
    <t>lukksepp</t>
  </si>
  <si>
    <t>Maarja</t>
  </si>
  <si>
    <t>Ambros</t>
  </si>
  <si>
    <t>Ost</t>
  </si>
  <si>
    <t>sekretäär</t>
  </si>
  <si>
    <t>Arsenov</t>
  </si>
  <si>
    <t>Ladu</t>
  </si>
  <si>
    <t>kompekteerija</t>
  </si>
  <si>
    <t>Kristel</t>
  </si>
  <si>
    <t>Astok</t>
  </si>
  <si>
    <t>Finants</t>
  </si>
  <si>
    <t>raamatupidaja</t>
  </si>
  <si>
    <t>Erika</t>
  </si>
  <si>
    <t>Bachmann</t>
  </si>
  <si>
    <t>müügijuht</t>
  </si>
  <si>
    <t>Reijo</t>
  </si>
  <si>
    <t>Bauman</t>
  </si>
  <si>
    <t>Mirja</t>
  </si>
  <si>
    <t>Bergmann</t>
  </si>
  <si>
    <t>Majandus</t>
  </si>
  <si>
    <t>koristaja</t>
  </si>
  <si>
    <t>Elvi</t>
  </si>
  <si>
    <t>Berk</t>
  </si>
  <si>
    <t>Transport</t>
  </si>
  <si>
    <t>dispetser</t>
  </si>
  <si>
    <t>Kaivo</t>
  </si>
  <si>
    <t>Olav</t>
  </si>
  <si>
    <t>Priit</t>
  </si>
  <si>
    <t>Burmeister</t>
  </si>
  <si>
    <t>autojuht</t>
  </si>
  <si>
    <t>Ene</t>
  </si>
  <si>
    <t>Ahto</t>
  </si>
  <si>
    <t>Danilov</t>
  </si>
  <si>
    <t>Laine</t>
  </si>
  <si>
    <t>Eek</t>
  </si>
  <si>
    <t>Erna</t>
  </si>
  <si>
    <t>Mare</t>
  </si>
  <si>
    <t>Eesmaa</t>
  </si>
  <si>
    <t>juhataja</t>
  </si>
  <si>
    <t>Vilma</t>
  </si>
  <si>
    <t>Einar</t>
  </si>
  <si>
    <t>Ehala</t>
  </si>
  <si>
    <t>treial</t>
  </si>
  <si>
    <t>Elmik</t>
  </si>
  <si>
    <t>Aadu</t>
  </si>
  <si>
    <t>Elson</t>
  </si>
  <si>
    <t>Marko</t>
  </si>
  <si>
    <t>Erikson</t>
  </si>
  <si>
    <t>meister</t>
  </si>
  <si>
    <t>Heinlo</t>
  </si>
  <si>
    <t>Aigi</t>
  </si>
  <si>
    <t>Härm</t>
  </si>
  <si>
    <t>Sirje</t>
  </si>
  <si>
    <t>Leida</t>
  </si>
  <si>
    <t>Jaanus</t>
  </si>
  <si>
    <t>Kristjan</t>
  </si>
  <si>
    <t>Jürimäe</t>
  </si>
  <si>
    <t>Jana</t>
  </si>
  <si>
    <t>Kaal</t>
  </si>
  <si>
    <t>Jaan</t>
  </si>
  <si>
    <t>Kaasik</t>
  </si>
  <si>
    <t>Meelis</t>
  </si>
  <si>
    <t>Kalju</t>
  </si>
  <si>
    <t>Hendrik</t>
  </si>
  <si>
    <t>Kanter</t>
  </si>
  <si>
    <t>Kasemets</t>
  </si>
  <si>
    <t>Malle</t>
  </si>
  <si>
    <t>Kivioja</t>
  </si>
  <si>
    <t>Andrus</t>
  </si>
  <si>
    <t>Koort</t>
  </si>
  <si>
    <t>Kreen</t>
  </si>
  <si>
    <t>Faina</t>
  </si>
  <si>
    <t>Kukk</t>
  </si>
  <si>
    <t>Riho</t>
  </si>
  <si>
    <t>Kuusk</t>
  </si>
  <si>
    <t>Boris</t>
  </si>
  <si>
    <t>Küünemäe</t>
  </si>
  <si>
    <t>Laanepõld</t>
  </si>
  <si>
    <t>Laubre</t>
  </si>
  <si>
    <t>Lepiksoo</t>
  </si>
  <si>
    <t>Lepp</t>
  </si>
  <si>
    <t>jurist</t>
  </si>
  <si>
    <t>Ligi</t>
  </si>
  <si>
    <t>Heli</t>
  </si>
  <si>
    <t>Lind</t>
  </si>
  <si>
    <t>Raivo</t>
  </si>
  <si>
    <t>Lokk</t>
  </si>
  <si>
    <t>Eino</t>
  </si>
  <si>
    <t>Luige</t>
  </si>
  <si>
    <t>Madis</t>
  </si>
  <si>
    <t>Maasalu</t>
  </si>
  <si>
    <t>Margus</t>
  </si>
  <si>
    <t>Malva</t>
  </si>
  <si>
    <t>Tiina</t>
  </si>
  <si>
    <t>Markus</t>
  </si>
  <si>
    <t>Aare</t>
  </si>
  <si>
    <t>Marmor</t>
  </si>
  <si>
    <t>Meigas</t>
  </si>
  <si>
    <t>Anton</t>
  </si>
  <si>
    <t>Meister</t>
  </si>
  <si>
    <t>Arnold</t>
  </si>
  <si>
    <t>Merilaid</t>
  </si>
  <si>
    <t>Mets</t>
  </si>
  <si>
    <t>Aarne</t>
  </si>
  <si>
    <t>Mikson</t>
  </si>
  <si>
    <t>Kersti</t>
  </si>
  <si>
    <t>Miller</t>
  </si>
  <si>
    <t>Muld</t>
  </si>
  <si>
    <t>Valve</t>
  </si>
  <si>
    <t>Mäesalu</t>
  </si>
  <si>
    <t>Mägi</t>
  </si>
  <si>
    <t>diiler</t>
  </si>
  <si>
    <t>Tarmo</t>
  </si>
  <si>
    <t>Müller</t>
  </si>
  <si>
    <t>Müürsepp</t>
  </si>
  <si>
    <t>Paul</t>
  </si>
  <si>
    <t>Naaber</t>
  </si>
  <si>
    <t>Noormets</t>
  </si>
  <si>
    <t>Norak</t>
  </si>
  <si>
    <t>Ando</t>
  </si>
  <si>
    <t>Nõmmik</t>
  </si>
  <si>
    <t>Oks</t>
  </si>
  <si>
    <t>Kristiina</t>
  </si>
  <si>
    <t>Okspuu</t>
  </si>
  <si>
    <t>Annika</t>
  </si>
  <si>
    <t>Paju</t>
  </si>
  <si>
    <t>Hanno</t>
  </si>
  <si>
    <t>Pajusaar</t>
  </si>
  <si>
    <t>Selma</t>
  </si>
  <si>
    <t>Parre</t>
  </si>
  <si>
    <t>Eevald</t>
  </si>
  <si>
    <t>Parts</t>
  </si>
  <si>
    <t>Paulus</t>
  </si>
  <si>
    <t>Pedak</t>
  </si>
  <si>
    <t>Petrov</t>
  </si>
  <si>
    <t>Irma</t>
  </si>
  <si>
    <t>Piirsalu</t>
  </si>
  <si>
    <t>Pulk</t>
  </si>
  <si>
    <t>valvur</t>
  </si>
  <si>
    <t>Airi</t>
  </si>
  <si>
    <t>Põld</t>
  </si>
  <si>
    <t>Evelin</t>
  </si>
  <si>
    <t>Põldmaa</t>
  </si>
  <si>
    <t>Hilja</t>
  </si>
  <si>
    <t>Raid</t>
  </si>
  <si>
    <t>Rajamäe</t>
  </si>
  <si>
    <t>Aasa</t>
  </si>
  <si>
    <t>Randla</t>
  </si>
  <si>
    <t>Raudsepp</t>
  </si>
  <si>
    <t>Roosimägi</t>
  </si>
  <si>
    <t>Salu</t>
  </si>
  <si>
    <t>Argo</t>
  </si>
  <si>
    <t>Kustav</t>
  </si>
  <si>
    <t>Erno</t>
  </si>
  <si>
    <t>Salumets</t>
  </si>
  <si>
    <t>Evi</t>
  </si>
  <si>
    <t>Sarapik</t>
  </si>
  <si>
    <t>Toomsalu</t>
  </si>
  <si>
    <t>Juulia</t>
  </si>
  <si>
    <t>Tubin</t>
  </si>
  <si>
    <t>Ahti</t>
  </si>
  <si>
    <t>Katy</t>
  </si>
  <si>
    <t>Veesimaa</t>
  </si>
  <si>
    <t>referent</t>
  </si>
  <si>
    <t>Kaspar</t>
  </si>
  <si>
    <t>Arvi</t>
  </si>
  <si>
    <t>Väljas</t>
  </si>
  <si>
    <t>Huviala</t>
  </si>
  <si>
    <t>Kodulemmik</t>
  </si>
  <si>
    <t>Linn</t>
  </si>
  <si>
    <t>Tallinn</t>
  </si>
  <si>
    <t>Pärnu</t>
  </si>
  <si>
    <t>Valga</t>
  </si>
  <si>
    <t>Loksa</t>
  </si>
  <si>
    <t>Kiili</t>
  </si>
  <si>
    <t>Tartu</t>
  </si>
  <si>
    <t>Rakvere</t>
  </si>
  <si>
    <t>Rapla</t>
  </si>
  <si>
    <t>Viljandi</t>
  </si>
  <si>
    <t>Jõgeva</t>
  </si>
  <si>
    <t>Paide</t>
  </si>
  <si>
    <t>Narva</t>
  </si>
  <si>
    <t>Jõhvi</t>
  </si>
  <si>
    <t>Haapsalu</t>
  </si>
  <si>
    <t>Kuressaare</t>
  </si>
  <si>
    <t>Saku</t>
  </si>
  <si>
    <t>Võru</t>
  </si>
  <si>
    <t>Põlva</t>
  </si>
  <si>
    <t>Türi</t>
  </si>
  <si>
    <t>Saue</t>
  </si>
  <si>
    <t>Kallaste</t>
  </si>
  <si>
    <t>Kadrina</t>
  </si>
  <si>
    <t>Tapa</t>
  </si>
  <si>
    <t>Vändra</t>
  </si>
  <si>
    <t>Kunda</t>
  </si>
  <si>
    <t>Sindi</t>
  </si>
  <si>
    <t>Tõrva</t>
  </si>
  <si>
    <t>Paldiski</t>
  </si>
  <si>
    <t>Kohtla-Järve</t>
  </si>
  <si>
    <t>Tamsalu</t>
  </si>
  <si>
    <t>Keila</t>
  </si>
  <si>
    <t>rahvatants</t>
  </si>
  <si>
    <t>jalgpall</t>
  </si>
  <si>
    <t>programmeerimine</t>
  </si>
  <si>
    <t>korvpall</t>
  </si>
  <si>
    <t>karate</t>
  </si>
  <si>
    <t>pillimäng</t>
  </si>
  <si>
    <t>golfimäng</t>
  </si>
  <si>
    <t>kalapüük</t>
  </si>
  <si>
    <t>sulgpall</t>
  </si>
  <si>
    <t>jalgrattasport</t>
  </si>
  <si>
    <t>kergejõustik</t>
  </si>
  <si>
    <t>lumelauasõit</t>
  </si>
  <si>
    <t>võrkpall</t>
  </si>
  <si>
    <t>ratsutamine</t>
  </si>
  <si>
    <t>raamatu lugemine</t>
  </si>
  <si>
    <t>käsitöö</t>
  </si>
  <si>
    <t>koer</t>
  </si>
  <si>
    <t>kass</t>
  </si>
  <si>
    <t>hamster</t>
  </si>
  <si>
    <t>papagoi</t>
  </si>
  <si>
    <t>ei ole</t>
  </si>
  <si>
    <t>kilpkonn</t>
  </si>
  <si>
    <t>meresiga</t>
  </si>
  <si>
    <t>Pereseis</t>
  </si>
  <si>
    <t>madu</t>
  </si>
  <si>
    <t>lesk</t>
  </si>
  <si>
    <t>abielus</t>
  </si>
  <si>
    <t>lahutatud</t>
  </si>
  <si>
    <t>vallaline</t>
  </si>
  <si>
    <t>^</t>
  </si>
  <si>
    <t>_</t>
  </si>
  <si>
    <t>`</t>
  </si>
  <si>
    <t>i</t>
  </si>
  <si>
    <t>a</t>
  </si>
  <si>
    <t>b</t>
  </si>
  <si>
    <t>c</t>
  </si>
  <si>
    <t>d</t>
  </si>
  <si>
    <t>f</t>
  </si>
  <si>
    <t>h</t>
  </si>
  <si>
    <t>g</t>
  </si>
  <si>
    <t>e</t>
  </si>
  <si>
    <t>Sümbol</t>
  </si>
  <si>
    <t>Kalad</t>
  </si>
  <si>
    <t>Jäär</t>
  </si>
  <si>
    <t>Sõnn</t>
  </si>
  <si>
    <t>Kaksikud</t>
  </si>
  <si>
    <t>Vähk</t>
  </si>
  <si>
    <t>Lõvi</t>
  </si>
  <si>
    <t>Neitsi</t>
  </si>
  <si>
    <t>Kaalud</t>
  </si>
  <si>
    <t>Skorpion</t>
  </si>
  <si>
    <t>Ambur</t>
  </si>
  <si>
    <t>Kaljukits</t>
  </si>
  <si>
    <t>Veevalaja</t>
  </si>
  <si>
    <t>Tähtkujud</t>
  </si>
  <si>
    <t>vabaabielus</t>
  </si>
  <si>
    <t>Ringi 3-18</t>
  </si>
  <si>
    <t>Randla 13 - 619</t>
  </si>
  <si>
    <t>Raudla 30a-20</t>
  </si>
  <si>
    <t>Ümera 60-45</t>
  </si>
  <si>
    <t>Retke 22-43</t>
  </si>
  <si>
    <t>Kolde 88-79</t>
  </si>
  <si>
    <t>Kaluri 2-12</t>
  </si>
  <si>
    <t>Raadiku 19-73</t>
  </si>
  <si>
    <t>Rästa 7/3</t>
  </si>
  <si>
    <t>Sõpruse 3 - 125</t>
  </si>
  <si>
    <t>Sõpruse pst 250 - 144</t>
  </si>
  <si>
    <t>Paekaare 58-51</t>
  </si>
  <si>
    <t>Mustamäe tee 165-58</t>
  </si>
  <si>
    <t>Liivalaia 32-35</t>
  </si>
  <si>
    <t>Linnamäe tee 85-21</t>
  </si>
  <si>
    <t>Õismäe tee 105-44</t>
  </si>
  <si>
    <t>Õismäe tee 21-10</t>
  </si>
  <si>
    <t>Mahtra 36-50</t>
  </si>
  <si>
    <t>Ümera 24-5</t>
  </si>
  <si>
    <t>Kivimurru 11 - 10</t>
  </si>
  <si>
    <t>Puhangu 4-14</t>
  </si>
  <si>
    <t>Sõle 61-19</t>
  </si>
  <si>
    <t>Odra 4-1</t>
  </si>
  <si>
    <t>Maleva 2b-11</t>
  </si>
  <si>
    <t>Kihnu 16-39</t>
  </si>
  <si>
    <t>Akadeemia tee 62-75</t>
  </si>
  <si>
    <t>Nurga 4-98</t>
  </si>
  <si>
    <t>Pärnu mnt 453A-19</t>
  </si>
  <si>
    <t>Vuti 67</t>
  </si>
  <si>
    <t>Aegviidu Piibe mnt 44-1</t>
  </si>
  <si>
    <t>Lasnamäe 50/10-23</t>
  </si>
  <si>
    <t>Võru 2-125</t>
  </si>
  <si>
    <t>Taime 19 - 5</t>
  </si>
  <si>
    <t>Ümera 6 -- 53</t>
  </si>
  <si>
    <t>Kärberi 14 - 2</t>
  </si>
  <si>
    <t>Mustamäe tee 195-102</t>
  </si>
  <si>
    <t>Kopli 65/2-5</t>
  </si>
  <si>
    <t>Tartu mnt 32-22</t>
  </si>
  <si>
    <t>Roheline 3</t>
  </si>
  <si>
    <t>Sütiste 39-64</t>
  </si>
  <si>
    <t>Vikerlase 13-216</t>
  </si>
  <si>
    <t>Lõime 6-4</t>
  </si>
  <si>
    <t>Järveotsa tee 43-15</t>
  </si>
  <si>
    <t>Koorti 18-24</t>
  </si>
  <si>
    <t>Sõpruse pst 246-40</t>
  </si>
  <si>
    <t>Ehte 5-28</t>
  </si>
  <si>
    <t>Kagu 13-4</t>
  </si>
  <si>
    <t>Läänemere 62-68</t>
  </si>
  <si>
    <t>Arbi 2-155</t>
  </si>
  <si>
    <t>Ehitajate tee 68-21</t>
  </si>
  <si>
    <t>Pae 60-13</t>
  </si>
  <si>
    <t>Virbi 4-132</t>
  </si>
  <si>
    <t>Langu 5-27</t>
  </si>
  <si>
    <t>Liinamäe 35-37</t>
  </si>
  <si>
    <t>Sepa 2 - 3</t>
  </si>
  <si>
    <t>Tartu mnt 24-1</t>
  </si>
  <si>
    <t>Mustamäe tee 195-48</t>
  </si>
  <si>
    <t>Kivila 18-69</t>
  </si>
  <si>
    <t>Kivila 16-71</t>
  </si>
  <si>
    <t>Paasiku 4-101</t>
  </si>
  <si>
    <t>Mahtra 25-105</t>
  </si>
  <si>
    <t>Liiva 7a-3</t>
  </si>
  <si>
    <t>Koidu 10-9</t>
  </si>
  <si>
    <t>Pakase 47</t>
  </si>
  <si>
    <t>Ehitajate tee 74-32</t>
  </si>
  <si>
    <t>Linnamäe 25-204</t>
  </si>
  <si>
    <t>Kalevipoja 11-110</t>
  </si>
  <si>
    <t>Sõle 5-10</t>
  </si>
  <si>
    <t>Läänemere tee 17-216</t>
  </si>
  <si>
    <t>Raadiku 1 - 23</t>
  </si>
  <si>
    <t>Raudla 30A-20</t>
  </si>
  <si>
    <t>Nisu 5-7</t>
  </si>
  <si>
    <t>Võidu 80</t>
  </si>
  <si>
    <t>Paekaare 62-53</t>
  </si>
  <si>
    <t>Võru 2-122</t>
  </si>
  <si>
    <t>Arbu 5-24</t>
  </si>
  <si>
    <t>Telliskivi 52a-1</t>
  </si>
  <si>
    <t>Kärberi 13-8</t>
  </si>
  <si>
    <t>Õismäe tee 96-35</t>
  </si>
  <si>
    <t>Sepa 2-3</t>
  </si>
  <si>
    <t>Keskuse 14-44</t>
  </si>
  <si>
    <t>Vikerlase 17-87</t>
  </si>
  <si>
    <t>Pronksi 6a-1</t>
  </si>
  <si>
    <t>Vana-Kalamaja 7-9</t>
  </si>
  <si>
    <t>Paasiku 28-3</t>
  </si>
  <si>
    <t>Vana-Kalamaja 20-16a</t>
  </si>
  <si>
    <t>Kibuvitsa 3-3</t>
  </si>
  <si>
    <t>Aadress</t>
  </si>
  <si>
    <t>tuli</t>
  </si>
  <si>
    <t>maa</t>
  </si>
  <si>
    <t>õhk</t>
  </si>
  <si>
    <t>vesi</t>
  </si>
  <si>
    <t>Stiihiad</t>
  </si>
  <si>
    <t>AlgusKuupäevad</t>
  </si>
  <si>
    <t>Variandi number</t>
  </si>
  <si>
    <t>Leida kõige kõrgema palgaga töötaja nimi.</t>
  </si>
  <si>
    <t>Risttabeli andmete alusel koostada sobiv diagramm.</t>
  </si>
  <si>
    <t>Koostada risttabel töötajate perekonnaseisu analüüsimiseks ametite ja linnade lõikes.</t>
  </si>
  <si>
    <t>Leida kõige madalama palgaga töötaja nimi.</t>
  </si>
  <si>
    <t>Koostada risttabel lemmikloomade liigi ja hulga kohta sugude ja linnade lõikes.</t>
  </si>
  <si>
    <t>Etteantud isikukoodi järgi leida inimese lemmikloom.</t>
  </si>
  <si>
    <t>Leida etteantud perekonnaseisuga inimeste arv, kes elavad etteantud linnas.</t>
  </si>
  <si>
    <t>Etteantud isikukoodi järgi leida linna nimi, kus inimene elab.</t>
  </si>
  <si>
    <t>Leida etteantud osakondade arv etteantud linnas.</t>
  </si>
  <si>
    <t>Etteantud isikukoodi järgi leida inimese ees- ja perekonnanimi.</t>
  </si>
  <si>
    <t>Etteantud isikukoodi järgi leida inimese hobi.</t>
  </si>
  <si>
    <t>Etteantud isikukoodi järgi leida osakond, kus see inimene töötab.</t>
  </si>
  <si>
    <t>Leida, mitmel inimesel etteantud linnas on etteantud hobi.</t>
  </si>
  <si>
    <t>Leida kui palju mehi/naisi (etteantav väärtus)  töötab etteantud osakonnas.</t>
  </si>
  <si>
    <t>Etteantud isikukoodi järgi leida inimese perekonnaseis.</t>
  </si>
  <si>
    <t>Etteantud isikukoodi järgi leida inimese koduloom.</t>
  </si>
  <si>
    <t>Leida kõige noorema töötaja ees- ja perenimi.</t>
  </si>
  <si>
    <t>Leida, kui palju etteantud perekonnaseisuga inimesi  töötab etteantud ametis.</t>
  </si>
  <si>
    <t>Leida, millises linnas elab kõige vanem töötaja.</t>
  </si>
  <si>
    <t>Leida etteantud osakonnas töötavate inimeste hulk, kellel on etteantud hobi.</t>
  </si>
  <si>
    <t>Leida kõige noorema töötaja hobi.</t>
  </si>
  <si>
    <t>Leida, kes on kõige vanema töötaja koduloom.</t>
  </si>
  <si>
    <t>Leida, mittu etteantud liiki lemmiklooma on etteantud osakonna töötajatel.</t>
  </si>
  <si>
    <t>Leida kõige vanema töötaja perekonnaseis.</t>
  </si>
  <si>
    <t>Leida, mittu etteantud liiki lemmiklooma on etteantud ametis töötavatel inimestel.</t>
  </si>
  <si>
    <t>Leida kui palju mehi/naisi (etteantav väärtus)  töötab etteantud ametis.</t>
  </si>
  <si>
    <t>Leida, mitmel etteantud perekonnaseisuga inimesel  on etteantud liiki lemmikloom.</t>
  </si>
  <si>
    <t>Leida, kui palju etteantud perekonnaseisuga inimesi  töötab etteantud osakonnas.</t>
  </si>
  <si>
    <t>Leida, mitu inimest töötab etteantud ametis ja elab etteantud linnas.</t>
  </si>
  <si>
    <t>Risttabelid e. liigendtabelid (paigutada töölehele Risttabel+Diagramm)</t>
  </si>
  <si>
    <t>Leida, mitmel etteantud linnas elaval töötajal on kodus etteantud loomaliiki kuuluv lemmikloom .</t>
  </si>
  <si>
    <t>Leida, kui palju mehi/naisi (etteantav väärtus)  elab etteantud linnas.</t>
  </si>
  <si>
    <t>Koostada risttabel hobide esinemissageduse analüüsimiseks meeste-naiste ja linnade lõikes.</t>
  </si>
  <si>
    <t>Koostada risttabel erinevate perekonnaseisude analüüsimiseks meeste-naiste ja linnade lõikes.</t>
  </si>
  <si>
    <t>Koostada risttabel hobide esinemissageduse analüüsimiseks osakondade ja linnade lõikes.</t>
  </si>
  <si>
    <t>Koostada risttabel koduloomade liigi ja arvu kohta osakondade ja linnade lõikes.</t>
  </si>
  <si>
    <t>Koostada risttabel: meeste ja naiste keskmine palk osakondade ja linnade lõikes.</t>
  </si>
  <si>
    <t>Koostada risttabel: meeste ja naiste keskmine palk ametite ja linnade lõikes.</t>
  </si>
  <si>
    <t>Koostada risttabel inimeste hobide esinemissageduste analüüsimiseks linnade ja vanusegruppide lõikes. Vanusegrupid koostada 15 aasta kaupa.</t>
  </si>
  <si>
    <t>Koostada risttabel erinevate perekonnaseisude analüüsimiseks ametite ja linnade lõikes.</t>
  </si>
  <si>
    <t>Koostada risttabel koduloomade liigi ja arvu kohta naiste/meeste ja linnade lõikes.</t>
  </si>
  <si>
    <t>Koostada risttabel inimeste hobide esinemissageduste analüüsimiseks naiste/meeste ja linnade lõikes.</t>
  </si>
  <si>
    <t>Koostada risttabel töötajate perekonnaseisu analüüsimiseks osakondade ja linnade lõikes.</t>
  </si>
  <si>
    <t>Filtreerida töölehele Filter_1 kalapüügiga tegelevate meeste ees- ja perenimed, kelle vanus on üle 50.</t>
  </si>
  <si>
    <t>Filtreerida töölehele Filter_1 üle 50-aastaste koeraomanike isikukoodid.</t>
  </si>
  <si>
    <r>
      <t xml:space="preserve">Rakendused otsingufunktsioonide abil. Tulemused esitada töölehtedel Otsing_1 ja Otsing_2. 
</t>
    </r>
    <r>
      <rPr>
        <b/>
        <sz val="11"/>
        <color rgb="FFFF0000"/>
        <rFont val="Calibri"/>
        <family val="2"/>
        <charset val="186"/>
        <scheme val="minor"/>
      </rPr>
      <t>Etteantavate väärtuste lahtritele määrata valideerimine loeteluga.</t>
    </r>
  </si>
  <si>
    <t>Väljastada töölehele Filter_1 vabaabielu elavate alla 30-aastaste meeste isikukoodid.</t>
  </si>
  <si>
    <t>Filtreerida töölehele Filter_2 nende töötajate perenimi, osakond ja amet, kelle palk on üle keskmise.</t>
  </si>
  <si>
    <t xml:space="preserve">Filtreerida töölehele Filter_1 Tallinnas elavate kassiomanike isikukoodid. </t>
  </si>
  <si>
    <t>Filtreerida töölehele Filter_2 nende töötajate ees- ja perenimi, kelle palk on alla keskmise.</t>
  </si>
  <si>
    <t>Väljastada töölehele Filter_2 nende ees- ja perenimed, kelle aadressis esineb tähekombinatsioon "mäe".</t>
  </si>
  <si>
    <t>Väljastada töölehele  Filter_2 inimeste nimed, kelle ees- ja perenimi algab sama tähega.</t>
  </si>
  <si>
    <t>Väljastada töölehele Filter_2 korduvate perenimedega inimeste isikukoodid, ees- ja perenimed ning aadressid.</t>
  </si>
  <si>
    <t>Moodustada töölehele Filter_1 nimekiri osakondadest, kus töötab alla 40-aastaseid lahutatud naisi (ainult unikaalsed väärtused).</t>
  </si>
  <si>
    <t>Väljastada töölehele Filter_2 talvel sündinud inimeste ees- ja perenimed.</t>
  </si>
  <si>
    <t>Moodustada töölehele Filter_1 nimekiri linnadest, kus elab naisi, kellel on papagoi (ainult unikaalsed väärtused).</t>
  </si>
  <si>
    <t>Väljastada töölehele Filter_2 kevadel sündinud inimeste ees- ja perenimed.</t>
  </si>
  <si>
    <t>Moodustada töötajate tabeli alusel töölehele Filter_1 nimekiri koduloomaliikidest, kelle omanike hulgas on mehi (ainult unikaalsed väärtused).</t>
  </si>
  <si>
    <t>Väljastada töölehele Filter_2 suvel sündinud inimeste ees- ja perenimed.</t>
  </si>
  <si>
    <t>Väljastada töölehele Filter_1 Tallinnas elavate naiste palgad.</t>
  </si>
  <si>
    <t>Väljastada töölehele Filter_2 sügisel sündinud inimeste ees- ja perenimed.</t>
  </si>
  <si>
    <t>Väljastada töölehele Filter_2 nende inimeste isikukoodid, kelle perenimi lõpeb K-tähega.</t>
  </si>
  <si>
    <t>Moodustada töölehele Filter_1 nimekiri linnadest, kus elab abielus naisi, kellel on koer (ainult unikaalsed väärtused).</t>
  </si>
  <si>
    <t>Väljastada töölehele Filter_2 nende inimeste isikukoodid, kelle eesnimi algab K-tähega.</t>
  </si>
  <si>
    <t>Väljastada töölehele Filter_1 leskmeeste palgad.</t>
  </si>
  <si>
    <t>Moodustada töölehele Filter_1 nimekiri nende inimeste koduloomaliikidest, kes elavad väljaspool Tallinna ja huvituvad käsitööst (ainult unikaalsed väärtused).</t>
  </si>
  <si>
    <t>Filtreerida töölehele Filter_2 pallimängudest huvitatud töötajate isikukood, sugu ja osakond.</t>
  </si>
  <si>
    <r>
      <t xml:space="preserve">Töölehel </t>
    </r>
    <r>
      <rPr>
        <b/>
        <sz val="11"/>
        <color rgb="FF000000"/>
        <rFont val="Calibri"/>
        <family val="2"/>
        <scheme val="minor"/>
      </rPr>
      <t xml:space="preserve">Päring </t>
    </r>
    <r>
      <rPr>
        <sz val="11"/>
        <color rgb="FF000000"/>
        <rFont val="Calibri"/>
        <family val="2"/>
        <scheme val="minor"/>
      </rPr>
      <t>luua tabeliobjekt (</t>
    </r>
    <r>
      <rPr>
        <b/>
        <sz val="11"/>
        <color rgb="FF000000"/>
        <rFont val="Calibri"/>
        <family val="2"/>
        <scheme val="minor"/>
      </rPr>
      <t>Table)</t>
    </r>
    <r>
      <rPr>
        <sz val="11"/>
        <color rgb="FF000000"/>
        <rFont val="Calibri"/>
        <family val="2"/>
        <scheme val="minor"/>
      </rPr>
      <t xml:space="preserve">, mis koosneb 6 veerust. 
1. veerus on töötajate isikukoodid (valite ise), mis määratakse valideerimise abil  isikukoodide loetelust. 
2 - 6 veeru väärtused leitakse otsingufunktsioonide abil  isikukoodi järgi: </t>
    </r>
  </si>
  <si>
    <t>Eesnimi, Perenimi, Pereseis, Amet, Tähtkuju ja Aastaaeg</t>
  </si>
  <si>
    <t>Perenimi,  Amet, Osakond, Huviala, Tähtkuju ja Aastaaeg</t>
  </si>
  <si>
    <t xml:space="preserve">Perenimi, Aadress, Linn, Pereseis, Sünnikuupäev ja Tähtkuju </t>
  </si>
  <si>
    <t>Eesnimi, Sugu, Osakond, Palk, Kodulemmik, Vanus</t>
  </si>
  <si>
    <t>Eesnimi, Perenimi, Aadress, Huviala, Sugu, Sünnikuu</t>
  </si>
  <si>
    <t>Eesnimi, Linn, Amet, Palk, Aastaaeg, Sünnikuupäev</t>
  </si>
  <si>
    <t>Perenimi, Aadress, Pereseis, Kodulemmik, Sugu, Vanus</t>
  </si>
  <si>
    <t>Eesnimi, Perenimi, Pereseis, Osakond, Tähtkuju ja Aastaaeg</t>
  </si>
  <si>
    <t>Perenimi, Linn, Huviala, Kodulemmik, Vanus, Sünnikuupäev</t>
  </si>
  <si>
    <t>Eesnimi, Perenimi, Palk, Huviala, Sugu, Sünnikuu</t>
  </si>
  <si>
    <t>Eesnimi, Perenimi, Tähtkuju, Pereseis, Aastaaeg, Sünnikuu</t>
  </si>
  <si>
    <t>Perenimi, Linn, Osakond, Amet, Sugu  ja Vanus</t>
  </si>
  <si>
    <t xml:space="preserve">Eesnimi, Aadress, Palk,Osakond, Sünnikuupäev ja Süünikuu </t>
  </si>
  <si>
    <t>Perenimi, Linn, Aadress, Kodulemmik, Vanus, Sünnikuupäev</t>
  </si>
  <si>
    <r>
      <t xml:space="preserve">Filtreerida töölehele Filter_1 nende töötajate hobid, kelle vanus on üle 40 ja palk suurem kui </t>
    </r>
    <r>
      <rPr>
        <i/>
        <sz val="11"/>
        <color theme="1"/>
        <rFont val="Calibri"/>
        <family val="2"/>
        <charset val="186"/>
        <scheme val="minor"/>
      </rPr>
      <t>15000.</t>
    </r>
  </si>
  <si>
    <r>
      <t>Filtreerida töölehele Filter_1 nende naiste ees- ja perenimed, kelle vanus jääb vahemikku 50</t>
    </r>
    <r>
      <rPr>
        <sz val="11"/>
        <color theme="1"/>
        <rFont val="Symbol"/>
        <family val="1"/>
        <charset val="2"/>
      </rPr>
      <t>-</t>
    </r>
    <r>
      <rPr>
        <sz val="11"/>
        <color theme="1"/>
        <rFont val="Calibri"/>
        <family val="2"/>
        <charset val="186"/>
        <scheme val="minor"/>
      </rPr>
      <t>60.</t>
    </r>
  </si>
  <si>
    <t>Väljastada töölehele Filter_2 nende inimeste  ees-ja perenimed, kes on sündinud etteantud kuus. Kriteeriumi lahtrile kuu nimetusega  peab olema määratud valideerimine loeteluga.</t>
  </si>
  <si>
    <r>
      <t>Väljastada töölehele Filter_2 nende inimeste  ees-ja perenimed, kes on sündinud 60-ndatel (1950</t>
    </r>
    <r>
      <rPr>
        <sz val="11"/>
        <color theme="1"/>
        <rFont val="Symbol"/>
        <family val="1"/>
        <charset val="2"/>
      </rPr>
      <t>-</t>
    </r>
    <r>
      <rPr>
        <sz val="11"/>
        <color theme="1"/>
        <rFont val="Calibri"/>
        <family val="2"/>
        <charset val="204"/>
      </rPr>
      <t>1959</t>
    </r>
    <r>
      <rPr>
        <sz val="11"/>
        <color theme="1"/>
        <rFont val="Calibri"/>
        <family val="2"/>
        <charset val="186"/>
        <scheme val="minor"/>
      </rPr>
      <t>).</t>
    </r>
  </si>
  <si>
    <r>
      <t>Filtreerida töölehele Filter_1 nende meeste isikukoodid, kelle vanus jääb vahemikku 30</t>
    </r>
    <r>
      <rPr>
        <sz val="11"/>
        <color theme="1"/>
        <rFont val="Symbol"/>
        <family val="1"/>
        <charset val="2"/>
      </rPr>
      <t>-</t>
    </r>
    <r>
      <rPr>
        <sz val="11"/>
        <color theme="1"/>
        <rFont val="Calibri"/>
        <family val="2"/>
        <charset val="186"/>
        <scheme val="minor"/>
      </rPr>
      <t>40.</t>
    </r>
  </si>
  <si>
    <r>
      <rPr>
        <b/>
        <sz val="11"/>
        <color rgb="FFFF0000"/>
        <rFont val="Calibri"/>
        <family val="2"/>
        <charset val="204"/>
        <scheme val="minor"/>
      </rPr>
      <t>Arendatud filter</t>
    </r>
    <r>
      <rPr>
        <b/>
        <sz val="11"/>
        <color theme="1"/>
        <rFont val="Calibri"/>
        <family val="2"/>
        <charset val="186"/>
        <scheme val="minor"/>
      </rPr>
      <t xml:space="preserve"> (tulemused esitada töölehtedel Filter_1 ja Filter_2)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</si>
</sst>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86"/>
      <scheme val="minor"/>
    </font>
    <font>
      <b/>
      <sz val="10"/>
      <name val="Arial"/>
      <family val="2"/>
    </font>
    <font>
      <sz val="10"/>
      <name val="Arial"/>
      <family val="2"/>
    </font>
    <font>
      <sz val="36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Wingdings"/>
      <charset val="2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  <font>
      <sz val="12"/>
      <color indexed="81"/>
      <name val="Tahoma"/>
      <family val="2"/>
      <charset val="204"/>
    </font>
    <font>
      <i/>
      <sz val="12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rgb="FF9C5700"/>
      <name val="Calibri"/>
      <family val="2"/>
      <charset val="186"/>
      <scheme val="minor"/>
    </font>
    <font>
      <b/>
      <sz val="14"/>
      <color rgb="FF9C570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8" fillId="3" borderId="0" applyNumberFormat="0" applyBorder="0" applyAlignment="0" applyProtection="0"/>
  </cellStyleXfs>
  <cellXfs count="6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2" fillId="0" borderId="6" xfId="0" applyFont="1" applyBorder="1"/>
    <xf numFmtId="0" fontId="0" fillId="0" borderId="5" xfId="0" applyFont="1" applyBorder="1" applyAlignment="1">
      <alignment wrapText="1"/>
    </xf>
    <xf numFmtId="14" fontId="0" fillId="0" borderId="5" xfId="0" applyNumberFormat="1" applyFont="1" applyBorder="1" applyAlignment="1">
      <alignment wrapText="1"/>
    </xf>
    <xf numFmtId="14" fontId="0" fillId="0" borderId="5" xfId="0" applyNumberFormat="1" applyBorder="1" applyAlignment="1">
      <alignment wrapText="1"/>
    </xf>
    <xf numFmtId="0" fontId="4" fillId="0" borderId="0" xfId="0" applyFont="1" applyBorder="1" applyAlignment="1">
      <alignment wrapText="1"/>
    </xf>
    <xf numFmtId="14" fontId="0" fillId="0" borderId="0" xfId="0" applyNumberFormat="1" applyBorder="1" applyAlignment="1">
      <alignment wrapText="1"/>
    </xf>
    <xf numFmtId="0" fontId="0" fillId="0" borderId="4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3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 indent="1"/>
    </xf>
    <xf numFmtId="0" fontId="3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 indent="1"/>
    </xf>
    <xf numFmtId="0" fontId="0" fillId="0" borderId="7" xfId="0" applyFont="1" applyFill="1" applyBorder="1" applyAlignment="1">
      <alignment horizontal="left" vertical="center" wrapText="1" indent="1"/>
    </xf>
    <xf numFmtId="0" fontId="0" fillId="0" borderId="10" xfId="0" applyBorder="1" applyAlignment="1">
      <alignment horizontal="left" vertical="center" wrapText="1" indent="1"/>
    </xf>
    <xf numFmtId="0" fontId="0" fillId="0" borderId="11" xfId="0" applyBorder="1" applyAlignment="1">
      <alignment horizontal="left" vertical="center" wrapText="1" inden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right"/>
    </xf>
    <xf numFmtId="0" fontId="12" fillId="0" borderId="0" xfId="0" applyFont="1" applyFill="1" applyBorder="1"/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3" fillId="0" borderId="16" xfId="0" applyFont="1" applyBorder="1" applyAlignment="1">
      <alignment horizontal="center" vertical="center"/>
    </xf>
    <xf numFmtId="0" fontId="0" fillId="0" borderId="17" xfId="0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18" xfId="0" applyBorder="1" applyAlignment="1">
      <alignment vertical="center"/>
    </xf>
    <xf numFmtId="0" fontId="0" fillId="0" borderId="17" xfId="0" applyFont="1" applyFill="1" applyBorder="1" applyAlignment="1">
      <alignment horizontal="left" vertical="center" wrapText="1" indent="1"/>
    </xf>
    <xf numFmtId="0" fontId="3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6" fillId="0" borderId="14" xfId="0" applyFont="1" applyBorder="1" applyAlignment="1">
      <alignment horizontal="left" vertical="center" wrapText="1" indent="1"/>
    </xf>
    <xf numFmtId="0" fontId="18" fillId="3" borderId="9" xfId="1" applyBorder="1" applyAlignment="1">
      <alignment horizontal="center" vertical="center"/>
    </xf>
    <xf numFmtId="0" fontId="18" fillId="3" borderId="16" xfId="1" applyBorder="1" applyAlignment="1">
      <alignment horizontal="center" vertical="center"/>
    </xf>
    <xf numFmtId="0" fontId="19" fillId="3" borderId="7" xfId="1" applyFont="1" applyBorder="1" applyAlignment="1">
      <alignment horizontal="left" vertical="center" wrapText="1" indent="1"/>
    </xf>
    <xf numFmtId="0" fontId="19" fillId="3" borderId="11" xfId="1" applyFont="1" applyBorder="1" applyAlignment="1">
      <alignment horizontal="left" vertical="center" wrapText="1" indent="1"/>
    </xf>
    <xf numFmtId="0" fontId="19" fillId="3" borderId="8" xfId="1" applyFont="1" applyBorder="1" applyAlignment="1">
      <alignment horizontal="left" vertical="center" indent="1"/>
    </xf>
    <xf numFmtId="0" fontId="19" fillId="3" borderId="17" xfId="1" applyFont="1" applyBorder="1" applyAlignment="1">
      <alignment horizontal="left" vertical="center" wrapText="1" indent="1"/>
    </xf>
    <xf numFmtId="0" fontId="19" fillId="3" borderId="10" xfId="1" applyFont="1" applyBorder="1" applyAlignment="1">
      <alignment horizontal="left" vertical="center" wrapText="1" indent="1"/>
    </xf>
    <xf numFmtId="0" fontId="19" fillId="3" borderId="18" xfId="1" applyFont="1" applyBorder="1" applyAlignment="1">
      <alignment vertical="center"/>
    </xf>
  </cellXfs>
  <cellStyles count="2">
    <cellStyle name="Neutraalne" xfId="1" builtinId="28"/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0</xdr:row>
      <xdr:rowOff>190499</xdr:rowOff>
    </xdr:from>
    <xdr:to>
      <xdr:col>14</xdr:col>
      <xdr:colOff>0</xdr:colOff>
      <xdr:row>28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7174" y="190499"/>
          <a:ext cx="8143876" cy="5314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1.  Luua uus töövihik ja kopeerida sellesse  antud vihiku järgmised töölehed: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Variandid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Töötajad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ja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Lisa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, töövihikule määrata</a:t>
          </a:r>
          <a:b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    nimi  </a:t>
          </a:r>
          <a:r>
            <a:rPr lang="et-EE" sz="1200" b="1" i="1">
              <a:solidFill>
                <a:schemeClr val="dk1"/>
              </a:solidFill>
              <a:latin typeface="+mn-lt"/>
              <a:ea typeface="+mn-ea"/>
              <a:cs typeface="+mn-cs"/>
            </a:rPr>
            <a:t>Excel_perekonnanimi.xlsx</a:t>
          </a:r>
          <a:endParaRPr lang="et-EE" sz="1200" b="1" i="1"/>
        </a:p>
        <a:p>
          <a:endParaRPr lang="et-EE" sz="12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2.  Lisada töölehele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Lisa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tabel kuu  nimetustega ja aastaaegadega. Kasutada seda tabelit otsingufunktsioonide rakendamisel.</a:t>
          </a:r>
          <a:endParaRPr lang="et-EE" sz="1200"/>
        </a:p>
        <a:p>
          <a:endParaRPr lang="et-EE" sz="1200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3.  Töölehtedel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Töötajad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 ja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Lisa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määrata kõikidele tabeli veergudele nimed  (nime võib anda ka tervele tabelile).</a:t>
          </a:r>
          <a:endParaRPr lang="et-EE" sz="1200"/>
        </a:p>
        <a:p>
          <a:endParaRPr lang="et-EE" sz="12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4.  Lisada tabelisse lehel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Töötajad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veerud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Sugu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Sünnikuupäev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ja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Vanus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ning koostada valemid nende väärtuste leidmiseks</a:t>
          </a:r>
          <a:b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     isikukoodide abil.</a:t>
          </a:r>
          <a:endParaRPr lang="et-EE" sz="1200"/>
        </a:p>
        <a:p>
          <a:endParaRPr lang="et-EE" sz="12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5.  Lisada veerud 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Tähtkuju</a:t>
          </a:r>
          <a:r>
            <a:rPr lang="et-EE" sz="1200" b="0">
              <a:solidFill>
                <a:schemeClr val="dk1"/>
              </a:solidFill>
              <a:latin typeface="+mn-lt"/>
              <a:ea typeface="+mn-ea"/>
              <a:cs typeface="+mn-cs"/>
            </a:rPr>
            <a:t>,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 Sünnikuu </a:t>
          </a:r>
          <a:r>
            <a:rPr lang="et-EE" sz="1200" b="0">
              <a:solidFill>
                <a:schemeClr val="dk1"/>
              </a:solidFill>
              <a:latin typeface="+mn-lt"/>
              <a:ea typeface="+mn-ea"/>
              <a:cs typeface="+mn-cs"/>
            </a:rPr>
            <a:t>ja</a:t>
          </a:r>
          <a:r>
            <a:rPr lang="et-EE" sz="1200" b="1">
              <a:solidFill>
                <a:schemeClr val="dk1"/>
              </a:solidFill>
              <a:latin typeface="+mn-lt"/>
              <a:ea typeface="+mn-ea"/>
              <a:cs typeface="+mn-cs"/>
            </a:rPr>
            <a:t> Aastaaeg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. Sünniaja järgi leida kõikide töötajate päikesemärgid (Sodiaagi tähtkuju, milles</a:t>
          </a:r>
          <a:b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     asus päike inimese sünnihetkel), sünnikuu nimetus (tekst) ja aastaaeg. </a:t>
          </a:r>
        </a:p>
        <a:p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      Kasutada  otsingufunktsioone</a:t>
          </a:r>
          <a:r>
            <a:rPr lang="et-EE" sz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leidmaks sobivad väärtused tabelitest töölehel </a:t>
          </a:r>
          <a:r>
            <a:rPr lang="et-EE" sz="12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Lisa</a:t>
          </a:r>
          <a:r>
            <a:rPr lang="et-EE" sz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</a:p>
        <a:p>
          <a:endParaRPr lang="et-EE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t-EE" sz="1100">
              <a:solidFill>
                <a:schemeClr val="dk1"/>
              </a:solidFill>
              <a:latin typeface="+mn-lt"/>
              <a:ea typeface="+mn-ea"/>
              <a:cs typeface="+mn-cs"/>
            </a:rPr>
            <a:t>  6.  </a:t>
          </a:r>
          <a:r>
            <a:rPr lang="et-EE" sz="1200">
              <a:solidFill>
                <a:schemeClr val="dk1"/>
              </a:solidFill>
              <a:latin typeface="+mn-lt"/>
              <a:ea typeface="+mn-ea"/>
              <a:cs typeface="+mn-cs"/>
            </a:rPr>
            <a:t>Lisada uued töölehed järgmiste nimetustega:</a:t>
          </a:r>
        </a:p>
        <a:p>
          <a:r>
            <a:rPr lang="et-EE" sz="1100" b="1">
              <a:solidFill>
                <a:schemeClr val="dk1"/>
              </a:solidFill>
              <a:latin typeface="+mn-lt"/>
              <a:ea typeface="+mn-ea"/>
              <a:cs typeface="+mn-cs"/>
            </a:rPr>
            <a:t>       Filter_1</a:t>
          </a:r>
          <a:r>
            <a:rPr lang="et-EE" sz="1100">
              <a:solidFill>
                <a:schemeClr val="dk1"/>
              </a:solidFill>
              <a:latin typeface="+mn-lt"/>
              <a:ea typeface="+mn-ea"/>
              <a:cs typeface="+mn-cs"/>
            </a:rPr>
            <a:t> , </a:t>
          </a:r>
          <a:r>
            <a:rPr lang="et-EE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Filter_2</a:t>
          </a:r>
          <a:r>
            <a:rPr lang="et-EE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r>
            <a:rPr lang="et-EE" sz="1100" b="1">
              <a:solidFill>
                <a:schemeClr val="dk1"/>
              </a:solidFill>
              <a:latin typeface="+mn-lt"/>
              <a:ea typeface="+mn-ea"/>
              <a:cs typeface="+mn-cs"/>
            </a:rPr>
            <a:t>       Risttabel+Diagramm,</a:t>
          </a:r>
        </a:p>
        <a:p>
          <a:r>
            <a:rPr lang="et-EE" sz="1100" b="1">
              <a:solidFill>
                <a:schemeClr val="dk1"/>
              </a:solidFill>
              <a:latin typeface="+mn-lt"/>
              <a:ea typeface="+mn-ea"/>
              <a:cs typeface="+mn-cs"/>
            </a:rPr>
            <a:t>       Otsing_1</a:t>
          </a:r>
          <a:r>
            <a:rPr lang="et-EE" sz="1100">
              <a:solidFill>
                <a:schemeClr val="dk1"/>
              </a:solidFill>
              <a:latin typeface="+mn-lt"/>
              <a:ea typeface="+mn-ea"/>
              <a:cs typeface="+mn-cs"/>
            </a:rPr>
            <a:t>,  </a:t>
          </a:r>
          <a:r>
            <a:rPr lang="et-EE" sz="1100" b="1">
              <a:solidFill>
                <a:schemeClr val="dk1"/>
              </a:solidFill>
              <a:latin typeface="+mn-lt"/>
              <a:ea typeface="+mn-ea"/>
              <a:cs typeface="+mn-cs"/>
            </a:rPr>
            <a:t>Otsing_2,  Päring</a:t>
          </a:r>
          <a:r>
            <a:rPr lang="et-EE" sz="1100">
              <a:solidFill>
                <a:schemeClr val="dk1"/>
              </a:solidFill>
              <a:latin typeface="+mn-lt"/>
              <a:ea typeface="+mn-ea"/>
              <a:cs typeface="+mn-cs"/>
            </a:rPr>
            <a:t>,  </a:t>
          </a:r>
          <a:endParaRPr lang="et-EE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t-EE" sz="1100" b="1">
              <a:solidFill>
                <a:schemeClr val="dk1"/>
              </a:solidFill>
              <a:latin typeface="+mn-lt"/>
              <a:ea typeface="+mn-ea"/>
              <a:cs typeface="+mn-cs"/>
            </a:rPr>
            <a:t>       Abi</a:t>
          </a:r>
        </a:p>
        <a:p>
          <a:endParaRPr lang="et-EE" sz="1200" baseline="0"/>
        </a:p>
        <a:p>
          <a:r>
            <a:rPr lang="et-EE" sz="1200" baseline="0"/>
            <a:t> 7.  Kõik variandiga määratud ülesanded tuleb teha vastavatel töölehtedel, kopeerige sellele töölehele ka ülesande tekst.</a:t>
          </a:r>
        </a:p>
        <a:p>
          <a:endParaRPr lang="et-EE" sz="1200" baseline="0"/>
        </a:p>
        <a:p>
          <a:r>
            <a:rPr lang="et-EE" sz="1200"/>
            <a:t> 8.  Sisestuskontrolli (valideerimine) vajalikud andmed (loetelud väärtustest) paigutada töölehele </a:t>
          </a:r>
          <a:r>
            <a:rPr lang="et-EE" sz="1200" b="1"/>
            <a:t>Abi</a:t>
          </a:r>
          <a:r>
            <a:rPr lang="et-EE" sz="1200"/>
            <a:t>.</a:t>
          </a:r>
        </a:p>
        <a:p>
          <a:endParaRPr lang="et-EE" sz="1200"/>
        </a:p>
        <a:p>
          <a:r>
            <a:rPr lang="et-EE" sz="1200"/>
            <a:t> 9. Vajadusel võib</a:t>
          </a:r>
          <a:r>
            <a:rPr lang="et-EE" sz="1200" baseline="0"/>
            <a:t> tabelisse lehel </a:t>
          </a:r>
          <a:r>
            <a:rPr lang="et-EE" sz="1200" b="1" baseline="0"/>
            <a:t>Töötajad</a:t>
          </a:r>
          <a:r>
            <a:rPr lang="et-EE" sz="1200" baseline="0"/>
            <a:t> lisada abiveerge (näiteks sobivate andmete leidmiseks filtritingimuste jaoks).</a:t>
          </a:r>
          <a:endParaRPr lang="et-EE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t-E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G9"/>
  <sheetViews>
    <sheetView showGridLines="0" tabSelected="1" workbookViewId="0">
      <selection activeCell="D34" sqref="D34"/>
    </sheetView>
  </sheetViews>
  <sheetFormatPr defaultRowHeight="15" x14ac:dyDescent="0.25"/>
  <cols>
    <col min="1" max="1" width="4.85546875" customWidth="1"/>
    <col min="7" max="7" width="11.42578125" customWidth="1"/>
  </cols>
  <sheetData>
    <row r="6" spans="7:7" x14ac:dyDescent="0.25">
      <c r="G6" s="26"/>
    </row>
    <row r="7" spans="7:7" x14ac:dyDescent="0.25">
      <c r="G7" s="27"/>
    </row>
    <row r="8" spans="7:7" x14ac:dyDescent="0.25">
      <c r="G8" s="26"/>
    </row>
    <row r="9" spans="7:7" x14ac:dyDescent="0.25">
      <c r="G9" s="2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zoomScale="80" zoomScaleNormal="80" workbookViewId="0">
      <selection activeCell="C3" sqref="C3"/>
    </sheetView>
  </sheetViews>
  <sheetFormatPr defaultColWidth="10.42578125" defaultRowHeight="46.5" x14ac:dyDescent="0.25"/>
  <cols>
    <col min="1" max="1" width="10" style="23" customWidth="1"/>
    <col min="2" max="2" width="57" style="11" bestFit="1" customWidth="1"/>
    <col min="3" max="3" width="47.85546875" style="12" bestFit="1" customWidth="1"/>
    <col min="4" max="4" width="49.42578125" style="11" customWidth="1"/>
    <col min="5" max="5" width="72.140625" style="12" bestFit="1" customWidth="1"/>
    <col min="6" max="16384" width="10.42578125" style="12"/>
  </cols>
  <sheetData>
    <row r="1" spans="1:5" s="30" customFormat="1" ht="93.75" customHeight="1" thickBot="1" x14ac:dyDescent="0.3">
      <c r="A1" s="43" t="s">
        <v>367</v>
      </c>
      <c r="B1" s="54" t="s">
        <v>455</v>
      </c>
      <c r="C1" s="44" t="s">
        <v>397</v>
      </c>
      <c r="D1" s="45" t="s">
        <v>413</v>
      </c>
      <c r="E1" s="42" t="s">
        <v>435</v>
      </c>
    </row>
    <row r="2" spans="1:5" ht="93" customHeight="1" x14ac:dyDescent="0.25">
      <c r="A2" s="55">
        <v>6</v>
      </c>
      <c r="B2" s="57" t="s">
        <v>433</v>
      </c>
      <c r="C2" s="57" t="s">
        <v>409</v>
      </c>
      <c r="D2" s="58" t="s">
        <v>391</v>
      </c>
      <c r="E2" s="59" t="s">
        <v>449</v>
      </c>
    </row>
    <row r="3" spans="1:5" ht="88.5" customHeight="1" thickBot="1" x14ac:dyDescent="0.3">
      <c r="A3" s="56"/>
      <c r="B3" s="60" t="s">
        <v>452</v>
      </c>
      <c r="C3" s="60" t="s">
        <v>369</v>
      </c>
      <c r="D3" s="61" t="s">
        <v>392</v>
      </c>
      <c r="E3" s="62"/>
    </row>
    <row r="4" spans="1:5" ht="60" customHeight="1" thickBot="1" x14ac:dyDescent="0.3"/>
    <row r="5" spans="1:5" x14ac:dyDescent="0.25">
      <c r="A5" s="25">
        <f>A2+1</f>
        <v>7</v>
      </c>
      <c r="B5" s="32" t="s">
        <v>432</v>
      </c>
      <c r="C5" s="22" t="s">
        <v>408</v>
      </c>
      <c r="D5" s="34" t="s">
        <v>389</v>
      </c>
      <c r="E5" s="46" t="s">
        <v>446</v>
      </c>
    </row>
    <row r="6" spans="1:5" ht="47.25" thickBot="1" x14ac:dyDescent="0.3">
      <c r="A6" s="47"/>
      <c r="B6" s="48" t="s">
        <v>453</v>
      </c>
      <c r="C6" s="49" t="s">
        <v>369</v>
      </c>
      <c r="D6" s="33" t="s">
        <v>390</v>
      </c>
      <c r="E6" s="50"/>
    </row>
    <row r="7" spans="1:5" x14ac:dyDescent="0.25">
      <c r="A7" s="25">
        <f>A5+1</f>
        <v>8</v>
      </c>
      <c r="B7" s="32" t="s">
        <v>430</v>
      </c>
      <c r="C7" s="22" t="s">
        <v>410</v>
      </c>
      <c r="D7" s="34" t="s">
        <v>388</v>
      </c>
      <c r="E7" s="46" t="s">
        <v>445</v>
      </c>
    </row>
    <row r="8" spans="1:5" ht="47.25" thickBot="1" x14ac:dyDescent="0.3">
      <c r="A8" s="47"/>
      <c r="B8" s="48" t="s">
        <v>431</v>
      </c>
      <c r="C8" s="49" t="s">
        <v>369</v>
      </c>
      <c r="D8" s="33" t="s">
        <v>393</v>
      </c>
      <c r="E8" s="50"/>
    </row>
    <row r="9" spans="1:5" x14ac:dyDescent="0.25">
      <c r="A9" s="25">
        <f>A7+1</f>
        <v>9</v>
      </c>
      <c r="B9" s="31" t="s">
        <v>414</v>
      </c>
      <c r="C9" s="22" t="s">
        <v>407</v>
      </c>
      <c r="D9" s="21" t="s">
        <v>386</v>
      </c>
      <c r="E9" s="46" t="s">
        <v>444</v>
      </c>
    </row>
    <row r="10" spans="1:5" ht="47.25" thickBot="1" x14ac:dyDescent="0.3">
      <c r="A10" s="47"/>
      <c r="B10" s="51" t="s">
        <v>429</v>
      </c>
      <c r="C10" s="49" t="s">
        <v>369</v>
      </c>
      <c r="D10" s="24" t="s">
        <v>387</v>
      </c>
      <c r="E10" s="50"/>
    </row>
    <row r="11" spans="1:5" ht="60" x14ac:dyDescent="0.25">
      <c r="A11" s="25">
        <f>A9+1</f>
        <v>10</v>
      </c>
      <c r="B11" s="32" t="s">
        <v>427</v>
      </c>
      <c r="C11" s="22" t="s">
        <v>406</v>
      </c>
      <c r="D11" s="21" t="s">
        <v>384</v>
      </c>
      <c r="E11" s="46" t="s">
        <v>443</v>
      </c>
    </row>
    <row r="12" spans="1:5" ht="81.75" customHeight="1" thickBot="1" x14ac:dyDescent="0.3">
      <c r="A12" s="47"/>
      <c r="B12" s="51" t="s">
        <v>428</v>
      </c>
      <c r="C12" s="49" t="s">
        <v>369</v>
      </c>
      <c r="D12" s="33" t="s">
        <v>394</v>
      </c>
      <c r="E12" s="50"/>
    </row>
    <row r="13" spans="1:5" ht="81.75" customHeight="1" x14ac:dyDescent="0.25">
      <c r="A13" s="25">
        <f>A11+1</f>
        <v>11</v>
      </c>
      <c r="B13" s="31" t="s">
        <v>425</v>
      </c>
      <c r="C13" s="22" t="s">
        <v>402</v>
      </c>
      <c r="D13" s="21" t="s">
        <v>383</v>
      </c>
      <c r="E13" s="46" t="s">
        <v>442</v>
      </c>
    </row>
    <row r="14" spans="1:5" ht="62.25" customHeight="1" thickBot="1" x14ac:dyDescent="0.3">
      <c r="A14" s="47"/>
      <c r="B14" s="51" t="s">
        <v>426</v>
      </c>
      <c r="C14" s="49" t="s">
        <v>369</v>
      </c>
      <c r="D14" s="33" t="s">
        <v>385</v>
      </c>
      <c r="E14" s="50"/>
    </row>
    <row r="15" spans="1:5" x14ac:dyDescent="0.25">
      <c r="A15" s="25">
        <f>A13+1</f>
        <v>12</v>
      </c>
      <c r="B15" s="32" t="s">
        <v>423</v>
      </c>
      <c r="C15" s="22" t="s">
        <v>403</v>
      </c>
      <c r="D15" s="21" t="s">
        <v>382</v>
      </c>
      <c r="E15" s="46" t="s">
        <v>441</v>
      </c>
    </row>
    <row r="16" spans="1:5" ht="47.25" thickBot="1" x14ac:dyDescent="0.3">
      <c r="A16" s="47"/>
      <c r="B16" s="51" t="s">
        <v>424</v>
      </c>
      <c r="C16" s="49" t="s">
        <v>369</v>
      </c>
      <c r="D16" s="33" t="s">
        <v>395</v>
      </c>
      <c r="E16" s="50"/>
    </row>
    <row r="17" spans="1:6" ht="64.5" customHeight="1" x14ac:dyDescent="0.25">
      <c r="A17" s="25">
        <f>A15+1</f>
        <v>13</v>
      </c>
      <c r="B17" s="32" t="s">
        <v>421</v>
      </c>
      <c r="C17" s="22" t="s">
        <v>404</v>
      </c>
      <c r="D17" s="21" t="s">
        <v>379</v>
      </c>
      <c r="E17" s="46" t="s">
        <v>440</v>
      </c>
    </row>
    <row r="18" spans="1:6" ht="47.25" thickBot="1" x14ac:dyDescent="0.3">
      <c r="A18" s="47"/>
      <c r="B18" s="51" t="s">
        <v>422</v>
      </c>
      <c r="C18" s="49" t="s">
        <v>369</v>
      </c>
      <c r="D18" s="33" t="s">
        <v>381</v>
      </c>
      <c r="E18" s="50"/>
    </row>
    <row r="19" spans="1:6" x14ac:dyDescent="0.25">
      <c r="A19" s="25">
        <f>A17+1</f>
        <v>14</v>
      </c>
      <c r="B19" s="41" t="s">
        <v>450</v>
      </c>
      <c r="C19" s="22" t="s">
        <v>405</v>
      </c>
      <c r="D19" s="21" t="s">
        <v>378</v>
      </c>
      <c r="E19" s="46" t="s">
        <v>439</v>
      </c>
    </row>
    <row r="20" spans="1:6" ht="47.25" thickBot="1" x14ac:dyDescent="0.3">
      <c r="A20" s="47"/>
      <c r="B20" s="51" t="s">
        <v>420</v>
      </c>
      <c r="C20" s="49" t="s">
        <v>369</v>
      </c>
      <c r="D20" s="24" t="s">
        <v>380</v>
      </c>
      <c r="E20" s="50"/>
    </row>
    <row r="21" spans="1:6" x14ac:dyDescent="0.25">
      <c r="A21" s="25">
        <f>A19+1</f>
        <v>15</v>
      </c>
      <c r="B21" s="32" t="s">
        <v>412</v>
      </c>
      <c r="C21" s="22" t="s">
        <v>401</v>
      </c>
      <c r="D21" s="21" t="s">
        <v>377</v>
      </c>
      <c r="E21" s="46" t="s">
        <v>438</v>
      </c>
    </row>
    <row r="22" spans="1:6" ht="91.5" customHeight="1" thickBot="1" x14ac:dyDescent="0.3">
      <c r="A22" s="47"/>
      <c r="B22" s="51" t="s">
        <v>419</v>
      </c>
      <c r="C22" s="49" t="s">
        <v>369</v>
      </c>
      <c r="D22" s="33" t="s">
        <v>396</v>
      </c>
      <c r="E22" s="50"/>
    </row>
    <row r="23" spans="1:6" x14ac:dyDescent="0.25">
      <c r="A23" s="25">
        <f>A21+1</f>
        <v>16</v>
      </c>
      <c r="B23" s="32" t="s">
        <v>411</v>
      </c>
      <c r="C23" s="22" t="s">
        <v>400</v>
      </c>
      <c r="D23" s="21" t="s">
        <v>375</v>
      </c>
      <c r="E23" s="46" t="s">
        <v>437</v>
      </c>
    </row>
    <row r="24" spans="1:6" ht="78" customHeight="1" thickBot="1" x14ac:dyDescent="0.3">
      <c r="A24" s="47"/>
      <c r="B24" s="51" t="s">
        <v>418</v>
      </c>
      <c r="C24" s="49" t="s">
        <v>369</v>
      </c>
      <c r="D24" s="24" t="s">
        <v>376</v>
      </c>
      <c r="E24" s="50"/>
    </row>
    <row r="25" spans="1:6" x14ac:dyDescent="0.2">
      <c r="A25" s="25">
        <f>A23+1</f>
        <v>17</v>
      </c>
      <c r="B25" s="31" t="s">
        <v>416</v>
      </c>
      <c r="C25" s="22" t="s">
        <v>372</v>
      </c>
      <c r="D25" s="21" t="s">
        <v>373</v>
      </c>
      <c r="E25" s="46" t="s">
        <v>448</v>
      </c>
      <c r="F25" s="35"/>
    </row>
    <row r="26" spans="1:6" ht="47.25" thickBot="1" x14ac:dyDescent="0.3">
      <c r="A26" s="47"/>
      <c r="B26" s="51" t="s">
        <v>417</v>
      </c>
      <c r="C26" s="49" t="s">
        <v>369</v>
      </c>
      <c r="D26" s="24" t="s">
        <v>374</v>
      </c>
      <c r="E26" s="50"/>
      <c r="F26" s="39"/>
    </row>
    <row r="27" spans="1:6" x14ac:dyDescent="0.25">
      <c r="A27" s="25">
        <f>A25+1</f>
        <v>18</v>
      </c>
      <c r="B27" s="22" t="s">
        <v>451</v>
      </c>
      <c r="C27" s="22" t="s">
        <v>370</v>
      </c>
      <c r="D27" s="21" t="s">
        <v>371</v>
      </c>
      <c r="E27" s="46" t="s">
        <v>447</v>
      </c>
    </row>
    <row r="28" spans="1:6" ht="64.5" customHeight="1" thickBot="1" x14ac:dyDescent="0.3">
      <c r="A28" s="52"/>
      <c r="B28" s="51" t="s">
        <v>415</v>
      </c>
      <c r="C28" s="49" t="s">
        <v>369</v>
      </c>
      <c r="D28" s="33" t="s">
        <v>399</v>
      </c>
      <c r="E28" s="50"/>
    </row>
    <row r="29" spans="1:6" ht="42.75" customHeight="1" x14ac:dyDescent="0.25">
      <c r="A29" s="25">
        <f>A27+1</f>
        <v>19</v>
      </c>
      <c r="B29" s="22" t="s">
        <v>454</v>
      </c>
      <c r="C29" s="22" t="s">
        <v>370</v>
      </c>
      <c r="D29" s="21" t="s">
        <v>368</v>
      </c>
      <c r="E29" s="46" t="s">
        <v>436</v>
      </c>
    </row>
    <row r="30" spans="1:6" ht="47.25" thickBot="1" x14ac:dyDescent="0.3">
      <c r="A30" s="52"/>
      <c r="B30" s="48" t="s">
        <v>434</v>
      </c>
      <c r="C30" s="49" t="s">
        <v>369</v>
      </c>
      <c r="D30" s="24" t="s">
        <v>398</v>
      </c>
      <c r="E30" s="50"/>
    </row>
    <row r="36" spans="7:15" x14ac:dyDescent="0.2">
      <c r="G36" s="35"/>
      <c r="H36" s="35"/>
      <c r="I36" s="35"/>
      <c r="J36" s="36"/>
      <c r="K36" s="37"/>
      <c r="L36" s="37"/>
      <c r="M36" s="38"/>
      <c r="N36" s="38"/>
      <c r="O36" s="38"/>
    </row>
    <row r="37" spans="7:15" x14ac:dyDescent="0.25">
      <c r="G37" s="40"/>
      <c r="H37" s="40"/>
      <c r="I37" s="40"/>
      <c r="J37" s="40"/>
      <c r="K37" s="40"/>
      <c r="L37" s="40"/>
      <c r="M37" s="40"/>
      <c r="N37" s="40"/>
      <c r="O37" s="40"/>
    </row>
    <row r="39" spans="7:15" ht="49.5" customHeight="1" x14ac:dyDescent="0.25"/>
  </sheetData>
  <pageMargins left="0.39370078740157483" right="0.39370078740157483" top="0.39370078740157483" bottom="0.39370078740157483" header="0.31496062992125984" footer="0.31496062992125984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opLeftCell="A49" workbookViewId="0">
      <selection sqref="A1:K100"/>
    </sheetView>
  </sheetViews>
  <sheetFormatPr defaultRowHeight="15" x14ac:dyDescent="0.25"/>
  <cols>
    <col min="1" max="1" width="18.5703125" customWidth="1"/>
    <col min="2" max="2" width="12.85546875" customWidth="1"/>
    <col min="3" max="3" width="14.42578125" customWidth="1"/>
    <col min="4" max="4" width="12.140625" customWidth="1"/>
    <col min="5" max="5" width="21" customWidth="1"/>
    <col min="6" max="6" width="15" customWidth="1"/>
    <col min="7" max="7" width="12.140625" customWidth="1"/>
    <col min="8" max="8" width="12.5703125" bestFit="1" customWidth="1"/>
    <col min="10" max="10" width="16.140625" customWidth="1"/>
    <col min="11" max="11" width="14.42578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185</v>
      </c>
      <c r="E1" s="2" t="s">
        <v>360</v>
      </c>
      <c r="F1" s="3" t="s">
        <v>240</v>
      </c>
      <c r="G1" s="1" t="s">
        <v>3</v>
      </c>
      <c r="H1" s="1" t="s">
        <v>4</v>
      </c>
      <c r="I1" s="4" t="s">
        <v>5</v>
      </c>
      <c r="J1" s="4" t="s">
        <v>183</v>
      </c>
      <c r="K1" s="4" t="s">
        <v>184</v>
      </c>
    </row>
    <row r="2" spans="1:11" x14ac:dyDescent="0.25">
      <c r="A2" s="5">
        <v>38602110722</v>
      </c>
      <c r="B2" s="6" t="s">
        <v>43</v>
      </c>
      <c r="C2" s="6" t="s">
        <v>44</v>
      </c>
      <c r="D2" s="6" t="s">
        <v>195</v>
      </c>
      <c r="E2" s="15" t="s">
        <v>285</v>
      </c>
      <c r="F2" s="7" t="s">
        <v>244</v>
      </c>
      <c r="G2" s="10" t="s">
        <v>39</v>
      </c>
      <c r="H2" s="10" t="s">
        <v>45</v>
      </c>
      <c r="I2" s="9">
        <v>11500</v>
      </c>
      <c r="J2" s="9" t="s">
        <v>219</v>
      </c>
      <c r="K2" s="9" t="s">
        <v>235</v>
      </c>
    </row>
    <row r="3" spans="1:11" x14ac:dyDescent="0.25">
      <c r="A3" s="5">
        <v>48804250911</v>
      </c>
      <c r="B3" s="6" t="s">
        <v>47</v>
      </c>
      <c r="C3" s="6" t="s">
        <v>48</v>
      </c>
      <c r="D3" s="6" t="s">
        <v>196</v>
      </c>
      <c r="E3" s="6" t="s">
        <v>287</v>
      </c>
      <c r="F3" s="7" t="s">
        <v>245</v>
      </c>
      <c r="G3" s="10" t="s">
        <v>39</v>
      </c>
      <c r="H3" s="10" t="s">
        <v>45</v>
      </c>
      <c r="I3" s="9">
        <v>13700</v>
      </c>
      <c r="J3" s="9" t="s">
        <v>231</v>
      </c>
      <c r="K3" s="9" t="s">
        <v>237</v>
      </c>
    </row>
    <row r="4" spans="1:11" x14ac:dyDescent="0.25">
      <c r="A4" s="5">
        <v>36505130719</v>
      </c>
      <c r="B4" s="6" t="s">
        <v>75</v>
      </c>
      <c r="C4" s="6" t="s">
        <v>76</v>
      </c>
      <c r="D4" s="6" t="s">
        <v>192</v>
      </c>
      <c r="E4" s="6" t="s">
        <v>300</v>
      </c>
      <c r="F4" s="7" t="s">
        <v>243</v>
      </c>
      <c r="G4" s="10" t="s">
        <v>39</v>
      </c>
      <c r="H4" s="10" t="s">
        <v>45</v>
      </c>
      <c r="I4" s="9">
        <v>10900</v>
      </c>
      <c r="J4" s="9" t="s">
        <v>224</v>
      </c>
      <c r="K4" s="9" t="s">
        <v>233</v>
      </c>
    </row>
    <row r="5" spans="1:11" x14ac:dyDescent="0.25">
      <c r="A5" s="5">
        <v>46705150941</v>
      </c>
      <c r="B5" s="6" t="s">
        <v>91</v>
      </c>
      <c r="C5" s="6" t="s">
        <v>92</v>
      </c>
      <c r="D5" s="6" t="s">
        <v>205</v>
      </c>
      <c r="E5" s="6" t="s">
        <v>309</v>
      </c>
      <c r="F5" s="7" t="s">
        <v>272</v>
      </c>
      <c r="G5" s="10" t="s">
        <v>39</v>
      </c>
      <c r="H5" s="10" t="s">
        <v>45</v>
      </c>
      <c r="I5" s="9">
        <v>9700</v>
      </c>
      <c r="J5" s="9" t="s">
        <v>221</v>
      </c>
      <c r="K5" s="9" t="s">
        <v>235</v>
      </c>
    </row>
    <row r="6" spans="1:11" x14ac:dyDescent="0.25">
      <c r="A6" s="5">
        <v>34808140585</v>
      </c>
      <c r="B6" s="6" t="s">
        <v>60</v>
      </c>
      <c r="C6" s="6" t="s">
        <v>108</v>
      </c>
      <c r="D6" s="6" t="s">
        <v>213</v>
      </c>
      <c r="E6" s="6" t="s">
        <v>320</v>
      </c>
      <c r="F6" s="7" t="s">
        <v>243</v>
      </c>
      <c r="G6" s="10" t="s">
        <v>39</v>
      </c>
      <c r="H6" s="10" t="s">
        <v>45</v>
      </c>
      <c r="I6" s="9">
        <v>11800</v>
      </c>
      <c r="J6" s="9" t="s">
        <v>221</v>
      </c>
      <c r="K6" s="9" t="s">
        <v>237</v>
      </c>
    </row>
    <row r="7" spans="1:11" x14ac:dyDescent="0.25">
      <c r="A7" s="5">
        <v>45811080030</v>
      </c>
      <c r="B7" s="6" t="s">
        <v>116</v>
      </c>
      <c r="C7" s="6" t="s">
        <v>117</v>
      </c>
      <c r="D7" s="6" t="s">
        <v>216</v>
      </c>
      <c r="E7" s="6" t="s">
        <v>323</v>
      </c>
      <c r="F7" s="7" t="s">
        <v>244</v>
      </c>
      <c r="G7" s="10" t="s">
        <v>39</v>
      </c>
      <c r="H7" s="10" t="s">
        <v>45</v>
      </c>
      <c r="I7" s="9">
        <v>9400</v>
      </c>
      <c r="J7" s="9" t="s">
        <v>232</v>
      </c>
      <c r="K7" s="9" t="s">
        <v>234</v>
      </c>
    </row>
    <row r="8" spans="1:11" x14ac:dyDescent="0.25">
      <c r="A8" s="5">
        <v>47210070151</v>
      </c>
      <c r="B8" s="6" t="s">
        <v>131</v>
      </c>
      <c r="C8" s="6" t="s">
        <v>132</v>
      </c>
      <c r="D8" s="6" t="s">
        <v>215</v>
      </c>
      <c r="E8" s="6" t="s">
        <v>329</v>
      </c>
      <c r="F8" s="7" t="s">
        <v>243</v>
      </c>
      <c r="G8" s="10" t="s">
        <v>39</v>
      </c>
      <c r="H8" s="10" t="s">
        <v>45</v>
      </c>
      <c r="I8" s="9">
        <v>10500</v>
      </c>
      <c r="J8" s="9" t="s">
        <v>219</v>
      </c>
      <c r="K8" s="9" t="s">
        <v>233</v>
      </c>
    </row>
    <row r="9" spans="1:11" x14ac:dyDescent="0.25">
      <c r="A9" s="5">
        <v>35504050446</v>
      </c>
      <c r="B9" s="6" t="s">
        <v>135</v>
      </c>
      <c r="C9" s="6" t="s">
        <v>136</v>
      </c>
      <c r="D9" s="6" t="s">
        <v>210</v>
      </c>
      <c r="E9" s="6" t="s">
        <v>333</v>
      </c>
      <c r="F9" s="7" t="s">
        <v>272</v>
      </c>
      <c r="G9" s="10" t="s">
        <v>39</v>
      </c>
      <c r="H9" s="10" t="s">
        <v>45</v>
      </c>
      <c r="I9" s="9">
        <v>11600</v>
      </c>
      <c r="J9" s="9" t="s">
        <v>230</v>
      </c>
      <c r="K9" s="9" t="s">
        <v>238</v>
      </c>
    </row>
    <row r="10" spans="1:11" x14ac:dyDescent="0.25">
      <c r="A10" s="5">
        <v>44303130136</v>
      </c>
      <c r="B10" s="6" t="s">
        <v>119</v>
      </c>
      <c r="C10" s="6" t="s">
        <v>137</v>
      </c>
      <c r="D10" s="6" t="s">
        <v>213</v>
      </c>
      <c r="E10" s="6" t="s">
        <v>334</v>
      </c>
      <c r="F10" s="7" t="s">
        <v>245</v>
      </c>
      <c r="G10" s="10" t="s">
        <v>39</v>
      </c>
      <c r="H10" s="10" t="s">
        <v>45</v>
      </c>
      <c r="I10" s="9">
        <v>10500</v>
      </c>
      <c r="J10" s="9" t="s">
        <v>231</v>
      </c>
      <c r="K10" s="9" t="s">
        <v>237</v>
      </c>
    </row>
    <row r="11" spans="1:11" x14ac:dyDescent="0.25">
      <c r="A11" s="5">
        <v>47210060467</v>
      </c>
      <c r="B11" s="6" t="s">
        <v>142</v>
      </c>
      <c r="C11" s="6" t="s">
        <v>149</v>
      </c>
      <c r="D11" s="6" t="s">
        <v>212</v>
      </c>
      <c r="E11" s="6" t="s">
        <v>341</v>
      </c>
      <c r="F11" s="7" t="s">
        <v>242</v>
      </c>
      <c r="G11" s="10" t="s">
        <v>39</v>
      </c>
      <c r="H11" s="10" t="s">
        <v>45</v>
      </c>
      <c r="I11" s="9">
        <v>10700</v>
      </c>
      <c r="J11" s="28" t="s">
        <v>222</v>
      </c>
      <c r="K11" s="9" t="s">
        <v>236</v>
      </c>
    </row>
    <row r="12" spans="1:11" x14ac:dyDescent="0.25">
      <c r="A12" s="5">
        <v>34504190222</v>
      </c>
      <c r="B12" s="6" t="s">
        <v>107</v>
      </c>
      <c r="C12" s="6" t="s">
        <v>165</v>
      </c>
      <c r="D12" s="6" t="s">
        <v>206</v>
      </c>
      <c r="E12" s="6" t="s">
        <v>351</v>
      </c>
      <c r="F12" s="7" t="s">
        <v>243</v>
      </c>
      <c r="G12" s="10" t="s">
        <v>39</v>
      </c>
      <c r="H12" s="10" t="s">
        <v>45</v>
      </c>
      <c r="I12" s="9">
        <v>13600</v>
      </c>
      <c r="J12" s="9" t="s">
        <v>221</v>
      </c>
      <c r="K12" s="9" t="s">
        <v>237</v>
      </c>
    </row>
    <row r="13" spans="1:11" x14ac:dyDescent="0.25">
      <c r="A13" s="5">
        <v>34004050217</v>
      </c>
      <c r="B13" s="6" t="s">
        <v>71</v>
      </c>
      <c r="C13" s="6" t="s">
        <v>126</v>
      </c>
      <c r="D13" s="6" t="s">
        <v>205</v>
      </c>
      <c r="E13" s="6" t="s">
        <v>328</v>
      </c>
      <c r="F13" s="7" t="s">
        <v>244</v>
      </c>
      <c r="G13" s="10" t="s">
        <v>12</v>
      </c>
      <c r="H13" s="10" t="s">
        <v>127</v>
      </c>
      <c r="I13" s="9">
        <v>10900</v>
      </c>
      <c r="J13" s="9" t="s">
        <v>222</v>
      </c>
      <c r="K13" s="9" t="s">
        <v>237</v>
      </c>
    </row>
    <row r="14" spans="1:11" x14ac:dyDescent="0.25">
      <c r="A14" s="5">
        <v>38402070214</v>
      </c>
      <c r="B14" s="6" t="s">
        <v>75</v>
      </c>
      <c r="C14" s="6" t="s">
        <v>133</v>
      </c>
      <c r="D14" s="6" t="s">
        <v>186</v>
      </c>
      <c r="E14" s="6" t="s">
        <v>330</v>
      </c>
      <c r="F14" s="7" t="s">
        <v>244</v>
      </c>
      <c r="G14" s="10" t="s">
        <v>12</v>
      </c>
      <c r="H14" s="10" t="s">
        <v>127</v>
      </c>
      <c r="I14" s="9">
        <v>11600</v>
      </c>
      <c r="J14" s="9" t="s">
        <v>229</v>
      </c>
      <c r="K14" s="9" t="s">
        <v>233</v>
      </c>
    </row>
    <row r="15" spans="1:11" x14ac:dyDescent="0.25">
      <c r="A15" s="5">
        <v>47202200902</v>
      </c>
      <c r="B15" s="6" t="s">
        <v>31</v>
      </c>
      <c r="C15" s="6" t="s">
        <v>139</v>
      </c>
      <c r="D15" s="6" t="s">
        <v>207</v>
      </c>
      <c r="E15" s="6" t="s">
        <v>336</v>
      </c>
      <c r="F15" s="7" t="s">
        <v>272</v>
      </c>
      <c r="G15" s="10" t="s">
        <v>12</v>
      </c>
      <c r="H15" s="10" t="s">
        <v>127</v>
      </c>
      <c r="I15" s="9">
        <v>9800</v>
      </c>
      <c r="J15" s="9" t="s">
        <v>219</v>
      </c>
      <c r="K15" s="9" t="s">
        <v>234</v>
      </c>
    </row>
    <row r="16" spans="1:11" x14ac:dyDescent="0.25">
      <c r="A16" s="5">
        <v>36902240722</v>
      </c>
      <c r="B16" s="6" t="s">
        <v>111</v>
      </c>
      <c r="C16" s="6" t="s">
        <v>164</v>
      </c>
      <c r="D16" s="6" t="s">
        <v>186</v>
      </c>
      <c r="E16" s="6" t="s">
        <v>350</v>
      </c>
      <c r="F16" s="7" t="s">
        <v>272</v>
      </c>
      <c r="G16" s="10" t="s">
        <v>12</v>
      </c>
      <c r="H16" s="10" t="s">
        <v>127</v>
      </c>
      <c r="I16" s="9">
        <v>10500</v>
      </c>
      <c r="J16" s="9" t="s">
        <v>227</v>
      </c>
      <c r="K16" s="9" t="s">
        <v>239</v>
      </c>
    </row>
    <row r="17" spans="1:11" x14ac:dyDescent="0.25">
      <c r="A17" s="5">
        <v>48405030944</v>
      </c>
      <c r="B17" s="6" t="s">
        <v>37</v>
      </c>
      <c r="C17" s="6" t="s">
        <v>38</v>
      </c>
      <c r="D17" s="6" t="s">
        <v>192</v>
      </c>
      <c r="E17" s="6" t="s">
        <v>282</v>
      </c>
      <c r="F17" s="7" t="s">
        <v>272</v>
      </c>
      <c r="G17" s="10" t="s">
        <v>39</v>
      </c>
      <c r="H17" s="10" t="s">
        <v>40</v>
      </c>
      <c r="I17" s="9">
        <v>9600</v>
      </c>
      <c r="J17" s="29" t="s">
        <v>224</v>
      </c>
      <c r="K17" s="9" t="s">
        <v>238</v>
      </c>
    </row>
    <row r="18" spans="1:11" x14ac:dyDescent="0.25">
      <c r="A18" s="5">
        <v>48107150516</v>
      </c>
      <c r="B18" s="6" t="s">
        <v>138</v>
      </c>
      <c r="C18" s="6" t="s">
        <v>137</v>
      </c>
      <c r="D18" s="6" t="s">
        <v>214</v>
      </c>
      <c r="E18" s="6" t="s">
        <v>335</v>
      </c>
      <c r="F18" s="7" t="s">
        <v>245</v>
      </c>
      <c r="G18" s="10" t="s">
        <v>39</v>
      </c>
      <c r="H18" s="10" t="s">
        <v>40</v>
      </c>
      <c r="I18" s="9">
        <v>9400</v>
      </c>
      <c r="J18" s="9" t="s">
        <v>228</v>
      </c>
      <c r="K18" s="9" t="s">
        <v>237</v>
      </c>
    </row>
    <row r="19" spans="1:11" x14ac:dyDescent="0.25">
      <c r="A19" s="5">
        <v>47402150417</v>
      </c>
      <c r="B19" s="6" t="s">
        <v>109</v>
      </c>
      <c r="C19" s="6" t="s">
        <v>161</v>
      </c>
      <c r="D19" s="6" t="s">
        <v>194</v>
      </c>
      <c r="E19" s="6" t="s">
        <v>348</v>
      </c>
      <c r="F19" s="7" t="s">
        <v>244</v>
      </c>
      <c r="G19" s="10" t="s">
        <v>39</v>
      </c>
      <c r="H19" s="10" t="s">
        <v>40</v>
      </c>
      <c r="I19" s="9">
        <v>10700</v>
      </c>
      <c r="J19" s="9" t="s">
        <v>219</v>
      </c>
      <c r="K19" s="9" t="s">
        <v>237</v>
      </c>
    </row>
    <row r="20" spans="1:11" x14ac:dyDescent="0.25">
      <c r="A20" s="5">
        <v>47411270496</v>
      </c>
      <c r="B20" s="6" t="s">
        <v>6</v>
      </c>
      <c r="C20" s="6" t="s">
        <v>166</v>
      </c>
      <c r="D20" s="6" t="s">
        <v>192</v>
      </c>
      <c r="E20" s="6" t="s">
        <v>352</v>
      </c>
      <c r="F20" s="7" t="s">
        <v>244</v>
      </c>
      <c r="G20" s="10" t="s">
        <v>22</v>
      </c>
      <c r="H20" s="10" t="s">
        <v>40</v>
      </c>
      <c r="I20" s="9">
        <v>9900</v>
      </c>
      <c r="J20" s="9" t="s">
        <v>224</v>
      </c>
      <c r="K20" s="9" t="s">
        <v>234</v>
      </c>
    </row>
    <row r="21" spans="1:11" x14ac:dyDescent="0.25">
      <c r="A21" s="5">
        <v>34203030178</v>
      </c>
      <c r="B21" s="6" t="s">
        <v>52</v>
      </c>
      <c r="C21" s="6" t="s">
        <v>53</v>
      </c>
      <c r="D21" s="6" t="s">
        <v>190</v>
      </c>
      <c r="E21" s="6" t="s">
        <v>290</v>
      </c>
      <c r="F21" s="7" t="s">
        <v>243</v>
      </c>
      <c r="G21" s="10" t="s">
        <v>35</v>
      </c>
      <c r="H21" s="10" t="s">
        <v>54</v>
      </c>
      <c r="I21" s="9">
        <v>25400</v>
      </c>
      <c r="J21" s="9" t="s">
        <v>223</v>
      </c>
      <c r="K21" s="9" t="s">
        <v>234</v>
      </c>
    </row>
    <row r="22" spans="1:11" x14ac:dyDescent="0.25">
      <c r="A22" s="5">
        <v>47210240441</v>
      </c>
      <c r="B22" s="6" t="s">
        <v>79</v>
      </c>
      <c r="C22" s="6" t="s">
        <v>80</v>
      </c>
      <c r="D22" s="6" t="s">
        <v>202</v>
      </c>
      <c r="E22" s="6" t="s">
        <v>302</v>
      </c>
      <c r="F22" s="7" t="s">
        <v>243</v>
      </c>
      <c r="G22" s="10" t="s">
        <v>8</v>
      </c>
      <c r="H22" s="10" t="s">
        <v>54</v>
      </c>
      <c r="I22" s="9">
        <v>32700</v>
      </c>
      <c r="J22" s="9" t="s">
        <v>223</v>
      </c>
      <c r="K22" s="9" t="s">
        <v>237</v>
      </c>
    </row>
    <row r="23" spans="1:11" x14ac:dyDescent="0.25">
      <c r="A23" s="5">
        <v>36210090988</v>
      </c>
      <c r="B23" s="6" t="s">
        <v>82</v>
      </c>
      <c r="C23" s="6" t="s">
        <v>83</v>
      </c>
      <c r="D23" s="6" t="s">
        <v>186</v>
      </c>
      <c r="E23" s="6" t="s">
        <v>304</v>
      </c>
      <c r="F23" s="7" t="s">
        <v>244</v>
      </c>
      <c r="G23" s="8" t="s">
        <v>26</v>
      </c>
      <c r="H23" s="8" t="s">
        <v>54</v>
      </c>
      <c r="I23" s="9">
        <v>36500</v>
      </c>
      <c r="J23" s="9" t="s">
        <v>223</v>
      </c>
      <c r="K23" s="9" t="s">
        <v>234</v>
      </c>
    </row>
    <row r="24" spans="1:11" x14ac:dyDescent="0.25">
      <c r="A24" s="5">
        <v>34210060017</v>
      </c>
      <c r="B24" s="6" t="s">
        <v>114</v>
      </c>
      <c r="C24" s="6" t="s">
        <v>115</v>
      </c>
      <c r="D24" s="6" t="s">
        <v>187</v>
      </c>
      <c r="E24" s="6" t="s">
        <v>286</v>
      </c>
      <c r="F24" s="7" t="s">
        <v>242</v>
      </c>
      <c r="G24" s="10" t="s">
        <v>22</v>
      </c>
      <c r="H24" s="10" t="s">
        <v>54</v>
      </c>
      <c r="I24" s="9">
        <v>22700</v>
      </c>
      <c r="J24" s="9" t="s">
        <v>224</v>
      </c>
      <c r="K24" s="9" t="s">
        <v>234</v>
      </c>
    </row>
    <row r="25" spans="1:11" x14ac:dyDescent="0.25">
      <c r="A25" s="5">
        <v>38305190379</v>
      </c>
      <c r="B25" s="6" t="s">
        <v>119</v>
      </c>
      <c r="C25" s="6" t="s">
        <v>120</v>
      </c>
      <c r="D25" s="6" t="s">
        <v>187</v>
      </c>
      <c r="E25" s="6" t="s">
        <v>287</v>
      </c>
      <c r="F25" s="7" t="s">
        <v>245</v>
      </c>
      <c r="G25" s="10" t="s">
        <v>19</v>
      </c>
      <c r="H25" s="10" t="s">
        <v>54</v>
      </c>
      <c r="I25" s="9">
        <v>29600</v>
      </c>
      <c r="J25" s="9" t="s">
        <v>222</v>
      </c>
      <c r="K25" s="9" t="s">
        <v>237</v>
      </c>
    </row>
    <row r="26" spans="1:11" x14ac:dyDescent="0.25">
      <c r="A26" s="5">
        <v>46909210954</v>
      </c>
      <c r="B26" s="6" t="s">
        <v>169</v>
      </c>
      <c r="C26" s="6" t="s">
        <v>170</v>
      </c>
      <c r="D26" s="6" t="s">
        <v>200</v>
      </c>
      <c r="E26" s="6" t="s">
        <v>355</v>
      </c>
      <c r="F26" s="7" t="s">
        <v>244</v>
      </c>
      <c r="G26" s="10" t="s">
        <v>12</v>
      </c>
      <c r="H26" s="10" t="s">
        <v>54</v>
      </c>
      <c r="I26" s="9">
        <v>36500</v>
      </c>
      <c r="J26" s="9" t="s">
        <v>225</v>
      </c>
      <c r="K26" s="9" t="s">
        <v>236</v>
      </c>
    </row>
    <row r="27" spans="1:11" x14ac:dyDescent="0.25">
      <c r="A27" s="5">
        <v>44411130888</v>
      </c>
      <c r="B27" s="6" t="s">
        <v>87</v>
      </c>
      <c r="C27" s="6" t="s">
        <v>96</v>
      </c>
      <c r="D27" s="6" t="s">
        <v>196</v>
      </c>
      <c r="E27" s="6" t="s">
        <v>313</v>
      </c>
      <c r="F27" s="7" t="s">
        <v>244</v>
      </c>
      <c r="G27" s="10" t="s">
        <v>26</v>
      </c>
      <c r="H27" s="10" t="s">
        <v>97</v>
      </c>
      <c r="I27" s="9">
        <v>23500</v>
      </c>
      <c r="J27" s="9" t="s">
        <v>229</v>
      </c>
      <c r="K27" s="9" t="s">
        <v>241</v>
      </c>
    </row>
    <row r="28" spans="1:11" x14ac:dyDescent="0.25">
      <c r="A28" s="5">
        <v>44211240925</v>
      </c>
      <c r="B28" s="6" t="s">
        <v>82</v>
      </c>
      <c r="C28" s="6" t="s">
        <v>98</v>
      </c>
      <c r="D28" s="6" t="s">
        <v>187</v>
      </c>
      <c r="E28" s="6" t="s">
        <v>314</v>
      </c>
      <c r="F28" s="7" t="s">
        <v>243</v>
      </c>
      <c r="G28" s="10" t="s">
        <v>26</v>
      </c>
      <c r="H28" s="10" t="s">
        <v>97</v>
      </c>
      <c r="I28" s="9">
        <v>22700</v>
      </c>
      <c r="J28" s="9" t="s">
        <v>222</v>
      </c>
      <c r="K28" s="9" t="s">
        <v>233</v>
      </c>
    </row>
    <row r="29" spans="1:11" x14ac:dyDescent="0.25">
      <c r="A29" s="5">
        <v>37102030149</v>
      </c>
      <c r="B29" s="6" t="s">
        <v>14</v>
      </c>
      <c r="C29" s="6" t="s">
        <v>21</v>
      </c>
      <c r="D29" s="6" t="s">
        <v>189</v>
      </c>
      <c r="E29" s="6" t="s">
        <v>277</v>
      </c>
      <c r="F29" s="7" t="s">
        <v>243</v>
      </c>
      <c r="G29" s="10" t="s">
        <v>22</v>
      </c>
      <c r="H29" s="10" t="s">
        <v>23</v>
      </c>
      <c r="I29" s="9">
        <v>10300</v>
      </c>
      <c r="J29" s="9" t="s">
        <v>217</v>
      </c>
      <c r="K29" s="9" t="s">
        <v>236</v>
      </c>
    </row>
    <row r="30" spans="1:11" x14ac:dyDescent="0.25">
      <c r="A30" s="5">
        <v>46909170171</v>
      </c>
      <c r="B30" s="6" t="s">
        <v>155</v>
      </c>
      <c r="C30" s="6" t="s">
        <v>156</v>
      </c>
      <c r="D30" s="6" t="s">
        <v>213</v>
      </c>
      <c r="E30" s="6" t="s">
        <v>344</v>
      </c>
      <c r="F30" s="7" t="s">
        <v>244</v>
      </c>
      <c r="G30" s="10" t="s">
        <v>22</v>
      </c>
      <c r="H30" s="10" t="s">
        <v>23</v>
      </c>
      <c r="I30" s="9">
        <v>11600</v>
      </c>
      <c r="J30" s="9" t="s">
        <v>230</v>
      </c>
      <c r="K30" s="9" t="s">
        <v>233</v>
      </c>
    </row>
    <row r="31" spans="1:11" x14ac:dyDescent="0.25">
      <c r="A31" s="5">
        <v>35006210936</v>
      </c>
      <c r="B31" s="6" t="s">
        <v>33</v>
      </c>
      <c r="C31" s="6" t="s">
        <v>34</v>
      </c>
      <c r="D31" s="6" t="s">
        <v>191</v>
      </c>
      <c r="E31" s="6" t="s">
        <v>281</v>
      </c>
      <c r="F31" s="7" t="s">
        <v>243</v>
      </c>
      <c r="G31" s="10" t="s">
        <v>35</v>
      </c>
      <c r="H31" s="10" t="s">
        <v>36</v>
      </c>
      <c r="I31" s="9">
        <v>6500</v>
      </c>
      <c r="J31" s="9" t="s">
        <v>232</v>
      </c>
      <c r="K31" s="9" t="s">
        <v>234</v>
      </c>
    </row>
    <row r="32" spans="1:11" x14ac:dyDescent="0.25">
      <c r="A32" s="5">
        <v>38401080820</v>
      </c>
      <c r="B32" s="6" t="s">
        <v>162</v>
      </c>
      <c r="C32" s="6" t="s">
        <v>163</v>
      </c>
      <c r="D32" s="6" t="s">
        <v>210</v>
      </c>
      <c r="E32" s="6" t="s">
        <v>349</v>
      </c>
      <c r="F32" s="7" t="s">
        <v>243</v>
      </c>
      <c r="G32" s="10" t="s">
        <v>35</v>
      </c>
      <c r="H32" s="10" t="s">
        <v>36</v>
      </c>
      <c r="I32" s="9">
        <v>7200</v>
      </c>
      <c r="J32" s="9" t="s">
        <v>232</v>
      </c>
      <c r="K32" s="9" t="s">
        <v>235</v>
      </c>
    </row>
    <row r="33" spans="1:11" x14ac:dyDescent="0.25">
      <c r="A33" s="5">
        <v>34207110230</v>
      </c>
      <c r="B33" s="6" t="s">
        <v>109</v>
      </c>
      <c r="C33" s="6" t="s">
        <v>173</v>
      </c>
      <c r="D33" s="6" t="s">
        <v>189</v>
      </c>
      <c r="E33" s="6" t="s">
        <v>355</v>
      </c>
      <c r="F33" s="7" t="s">
        <v>242</v>
      </c>
      <c r="G33" s="10" t="s">
        <v>35</v>
      </c>
      <c r="H33" s="10" t="s">
        <v>36</v>
      </c>
      <c r="I33" s="9">
        <v>6500</v>
      </c>
      <c r="J33" s="9" t="s">
        <v>222</v>
      </c>
      <c r="K33" s="9" t="s">
        <v>233</v>
      </c>
    </row>
    <row r="34" spans="1:11" x14ac:dyDescent="0.25">
      <c r="A34" s="5">
        <v>48901180808</v>
      </c>
      <c r="B34" s="6" t="s">
        <v>14</v>
      </c>
      <c r="C34" s="6" t="s">
        <v>15</v>
      </c>
      <c r="D34" s="6" t="s">
        <v>188</v>
      </c>
      <c r="E34" s="6" t="s">
        <v>275</v>
      </c>
      <c r="F34" s="7" t="s">
        <v>243</v>
      </c>
      <c r="G34" s="10" t="s">
        <v>8</v>
      </c>
      <c r="H34" s="10" t="s">
        <v>16</v>
      </c>
      <c r="I34" s="9">
        <v>11500</v>
      </c>
      <c r="J34" s="9" t="s">
        <v>227</v>
      </c>
      <c r="K34" s="9" t="s">
        <v>234</v>
      </c>
    </row>
    <row r="35" spans="1:11" x14ac:dyDescent="0.25">
      <c r="A35" s="5">
        <v>47008050804</v>
      </c>
      <c r="B35" s="6" t="s">
        <v>60</v>
      </c>
      <c r="C35" s="6" t="s">
        <v>65</v>
      </c>
      <c r="D35" s="6" t="s">
        <v>200</v>
      </c>
      <c r="E35" s="6" t="s">
        <v>295</v>
      </c>
      <c r="F35" s="7" t="s">
        <v>272</v>
      </c>
      <c r="G35" s="10" t="s">
        <v>8</v>
      </c>
      <c r="H35" s="10" t="s">
        <v>16</v>
      </c>
      <c r="I35" s="9">
        <v>8600</v>
      </c>
      <c r="J35" s="9" t="s">
        <v>232</v>
      </c>
      <c r="K35" s="9" t="s">
        <v>233</v>
      </c>
    </row>
    <row r="36" spans="1:11" x14ac:dyDescent="0.25">
      <c r="A36" s="5">
        <v>36109040214</v>
      </c>
      <c r="B36" s="6" t="s">
        <v>71</v>
      </c>
      <c r="C36" s="6" t="s">
        <v>72</v>
      </c>
      <c r="D36" s="6" t="s">
        <v>188</v>
      </c>
      <c r="E36" s="6" t="s">
        <v>298</v>
      </c>
      <c r="F36" s="7" t="s">
        <v>244</v>
      </c>
      <c r="G36" s="10" t="s">
        <v>8</v>
      </c>
      <c r="H36" s="10" t="s">
        <v>16</v>
      </c>
      <c r="I36" s="9">
        <v>12700</v>
      </c>
      <c r="J36" s="9" t="s">
        <v>228</v>
      </c>
      <c r="K36" s="9" t="s">
        <v>233</v>
      </c>
    </row>
    <row r="37" spans="1:11" x14ac:dyDescent="0.25">
      <c r="A37" s="5">
        <v>44506270104</v>
      </c>
      <c r="B37" s="6" t="s">
        <v>31</v>
      </c>
      <c r="C37" s="6" t="s">
        <v>130</v>
      </c>
      <c r="D37" s="6" t="s">
        <v>209</v>
      </c>
      <c r="E37" s="6" t="s">
        <v>296</v>
      </c>
      <c r="F37" s="7" t="s">
        <v>242</v>
      </c>
      <c r="G37" s="10" t="s">
        <v>8</v>
      </c>
      <c r="H37" s="10" t="s">
        <v>16</v>
      </c>
      <c r="I37" s="9">
        <v>11600</v>
      </c>
      <c r="J37" s="9" t="s">
        <v>217</v>
      </c>
      <c r="K37" s="9" t="s">
        <v>234</v>
      </c>
    </row>
    <row r="38" spans="1:11" x14ac:dyDescent="0.25">
      <c r="A38" s="5">
        <v>48310210529</v>
      </c>
      <c r="B38" s="6" t="s">
        <v>146</v>
      </c>
      <c r="C38" s="6" t="s">
        <v>147</v>
      </c>
      <c r="D38" s="6" t="s">
        <v>215</v>
      </c>
      <c r="E38" s="6" t="s">
        <v>294</v>
      </c>
      <c r="F38" s="7" t="s">
        <v>243</v>
      </c>
      <c r="G38" s="10" t="s">
        <v>8</v>
      </c>
      <c r="H38" s="10" t="s">
        <v>16</v>
      </c>
      <c r="I38" s="9">
        <v>12900</v>
      </c>
      <c r="J38" s="9" t="s">
        <v>228</v>
      </c>
      <c r="K38" s="9" t="s">
        <v>237</v>
      </c>
    </row>
    <row r="39" spans="1:11" x14ac:dyDescent="0.25">
      <c r="A39" s="5">
        <v>34007250511</v>
      </c>
      <c r="B39" s="6" t="s">
        <v>62</v>
      </c>
      <c r="C39" s="6" t="s">
        <v>63</v>
      </c>
      <c r="D39" s="6" t="s">
        <v>199</v>
      </c>
      <c r="E39" s="6" t="s">
        <v>294</v>
      </c>
      <c r="F39" s="7" t="s">
        <v>244</v>
      </c>
      <c r="G39" s="10" t="s">
        <v>8</v>
      </c>
      <c r="H39" s="10" t="s">
        <v>64</v>
      </c>
      <c r="I39" s="9">
        <v>13780</v>
      </c>
      <c r="J39" s="9" t="s">
        <v>226</v>
      </c>
      <c r="K39" s="9" t="s">
        <v>234</v>
      </c>
    </row>
    <row r="40" spans="1:11" x14ac:dyDescent="0.25">
      <c r="A40" s="5">
        <v>37609120658</v>
      </c>
      <c r="B40" s="6" t="s">
        <v>111</v>
      </c>
      <c r="C40" s="6" t="s">
        <v>112</v>
      </c>
      <c r="D40" s="6" t="s">
        <v>215</v>
      </c>
      <c r="E40" s="6" t="s">
        <v>321</v>
      </c>
      <c r="F40" s="7" t="s">
        <v>243</v>
      </c>
      <c r="G40" s="10" t="s">
        <v>8</v>
      </c>
      <c r="H40" s="10" t="s">
        <v>64</v>
      </c>
      <c r="I40" s="9">
        <v>14200</v>
      </c>
      <c r="J40" s="9" t="s">
        <v>219</v>
      </c>
      <c r="K40" s="9" t="s">
        <v>233</v>
      </c>
    </row>
    <row r="41" spans="1:11" x14ac:dyDescent="0.25">
      <c r="A41" s="5">
        <v>36108130050</v>
      </c>
      <c r="B41" s="6" t="s">
        <v>41</v>
      </c>
      <c r="C41" s="6" t="s">
        <v>118</v>
      </c>
      <c r="D41" s="6" t="s">
        <v>208</v>
      </c>
      <c r="E41" s="6" t="s">
        <v>324</v>
      </c>
      <c r="F41" s="7" t="s">
        <v>272</v>
      </c>
      <c r="G41" s="10" t="s">
        <v>8</v>
      </c>
      <c r="H41" s="10" t="s">
        <v>64</v>
      </c>
      <c r="I41" s="9">
        <v>13800</v>
      </c>
      <c r="J41" s="9" t="s">
        <v>218</v>
      </c>
      <c r="K41" s="9" t="s">
        <v>236</v>
      </c>
    </row>
    <row r="42" spans="1:11" x14ac:dyDescent="0.25">
      <c r="A42" s="5">
        <v>37903090504</v>
      </c>
      <c r="B42" s="6" t="s">
        <v>28</v>
      </c>
      <c r="C42" s="6" t="s">
        <v>29</v>
      </c>
      <c r="D42" s="6" t="s">
        <v>186</v>
      </c>
      <c r="E42" s="6" t="s">
        <v>279</v>
      </c>
      <c r="F42" s="7" t="s">
        <v>243</v>
      </c>
      <c r="G42" s="10" t="s">
        <v>12</v>
      </c>
      <c r="H42" s="10" t="s">
        <v>30</v>
      </c>
      <c r="I42" s="9">
        <v>13500</v>
      </c>
      <c r="J42" s="9" t="s">
        <v>220</v>
      </c>
      <c r="K42" s="9" t="s">
        <v>233</v>
      </c>
    </row>
    <row r="43" spans="1:11" x14ac:dyDescent="0.25">
      <c r="A43" s="5">
        <v>37105020007</v>
      </c>
      <c r="B43" s="6" t="s">
        <v>46</v>
      </c>
      <c r="C43" s="6" t="s">
        <v>59</v>
      </c>
      <c r="D43" s="6" t="s">
        <v>189</v>
      </c>
      <c r="E43" s="6" t="s">
        <v>292</v>
      </c>
      <c r="F43" s="7" t="s">
        <v>243</v>
      </c>
      <c r="G43" s="10" t="s">
        <v>12</v>
      </c>
      <c r="H43" s="10" t="s">
        <v>30</v>
      </c>
      <c r="I43" s="9">
        <v>12700</v>
      </c>
      <c r="J43" s="9" t="s">
        <v>231</v>
      </c>
      <c r="K43" s="9" t="s">
        <v>238</v>
      </c>
    </row>
    <row r="44" spans="1:11" x14ac:dyDescent="0.25">
      <c r="A44" s="5">
        <v>47110010868</v>
      </c>
      <c r="B44" s="6" t="s">
        <v>128</v>
      </c>
      <c r="C44" s="6" t="s">
        <v>129</v>
      </c>
      <c r="D44" s="6" t="s">
        <v>212</v>
      </c>
      <c r="E44" s="6" t="s">
        <v>296</v>
      </c>
      <c r="F44" s="7" t="s">
        <v>272</v>
      </c>
      <c r="G44" s="10" t="s">
        <v>12</v>
      </c>
      <c r="H44" s="10" t="s">
        <v>30</v>
      </c>
      <c r="I44" s="9">
        <v>20800</v>
      </c>
      <c r="J44" s="9" t="s">
        <v>221</v>
      </c>
      <c r="K44" s="9" t="s">
        <v>241</v>
      </c>
    </row>
    <row r="45" spans="1:11" x14ac:dyDescent="0.25">
      <c r="A45" s="5">
        <v>45704030496</v>
      </c>
      <c r="B45" s="6" t="s">
        <v>24</v>
      </c>
      <c r="C45" s="6" t="s">
        <v>25</v>
      </c>
      <c r="D45" s="6" t="s">
        <v>190</v>
      </c>
      <c r="E45" s="6" t="s">
        <v>278</v>
      </c>
      <c r="F45" s="7" t="s">
        <v>243</v>
      </c>
      <c r="G45" s="10" t="s">
        <v>26</v>
      </c>
      <c r="H45" s="10" t="s">
        <v>27</v>
      </c>
      <c r="I45" s="9">
        <v>12740</v>
      </c>
      <c r="J45" s="9" t="s">
        <v>219</v>
      </c>
      <c r="K45" s="9" t="s">
        <v>233</v>
      </c>
    </row>
    <row r="46" spans="1:11" x14ac:dyDescent="0.25">
      <c r="A46" s="5">
        <v>47105130963</v>
      </c>
      <c r="B46" s="6" t="s">
        <v>46</v>
      </c>
      <c r="C46" s="6" t="s">
        <v>44</v>
      </c>
      <c r="D46" s="6" t="s">
        <v>196</v>
      </c>
      <c r="E46" s="6" t="s">
        <v>286</v>
      </c>
      <c r="F46" s="7" t="s">
        <v>244</v>
      </c>
      <c r="G46" s="10" t="s">
        <v>26</v>
      </c>
      <c r="H46" s="10" t="s">
        <v>27</v>
      </c>
      <c r="I46" s="9">
        <v>10700</v>
      </c>
      <c r="J46" s="9" t="s">
        <v>226</v>
      </c>
      <c r="K46" s="9" t="s">
        <v>239</v>
      </c>
    </row>
    <row r="47" spans="1:11" x14ac:dyDescent="0.25">
      <c r="A47" s="5">
        <v>38301060031</v>
      </c>
      <c r="B47" s="6" t="s">
        <v>55</v>
      </c>
      <c r="C47" s="6" t="s">
        <v>53</v>
      </c>
      <c r="D47" s="6" t="s">
        <v>188</v>
      </c>
      <c r="E47" s="6" t="s">
        <v>291</v>
      </c>
      <c r="F47" s="7" t="s">
        <v>243</v>
      </c>
      <c r="G47" s="10" t="s">
        <v>26</v>
      </c>
      <c r="H47" s="10" t="s">
        <v>27</v>
      </c>
      <c r="I47" s="9">
        <v>11600</v>
      </c>
      <c r="J47" s="9" t="s">
        <v>221</v>
      </c>
      <c r="K47" s="9" t="s">
        <v>237</v>
      </c>
    </row>
    <row r="48" spans="1:11" x14ac:dyDescent="0.25">
      <c r="A48" s="5">
        <v>35205180673</v>
      </c>
      <c r="B48" s="6" t="s">
        <v>75</v>
      </c>
      <c r="C48" s="6" t="s">
        <v>94</v>
      </c>
      <c r="D48" s="6" t="s">
        <v>198</v>
      </c>
      <c r="E48" s="6" t="s">
        <v>311</v>
      </c>
      <c r="F48" s="7" t="s">
        <v>244</v>
      </c>
      <c r="G48" s="10" t="s">
        <v>26</v>
      </c>
      <c r="H48" s="10" t="s">
        <v>27</v>
      </c>
      <c r="I48" s="9">
        <v>12700</v>
      </c>
      <c r="J48" s="9" t="s">
        <v>228</v>
      </c>
      <c r="K48" s="9" t="s">
        <v>238</v>
      </c>
    </row>
    <row r="49" spans="1:11" x14ac:dyDescent="0.25">
      <c r="A49" s="5">
        <v>34409100049</v>
      </c>
      <c r="B49" s="6" t="s">
        <v>171</v>
      </c>
      <c r="C49" s="6" t="s">
        <v>172</v>
      </c>
      <c r="D49" s="6" t="s">
        <v>190</v>
      </c>
      <c r="E49" s="6" t="s">
        <v>355</v>
      </c>
      <c r="F49" s="7" t="s">
        <v>242</v>
      </c>
      <c r="G49" s="10" t="s">
        <v>26</v>
      </c>
      <c r="H49" s="10" t="s">
        <v>27</v>
      </c>
      <c r="I49" s="9">
        <v>12700</v>
      </c>
      <c r="J49" s="9" t="s">
        <v>231</v>
      </c>
      <c r="K49" s="9" t="s">
        <v>236</v>
      </c>
    </row>
    <row r="50" spans="1:11" x14ac:dyDescent="0.25">
      <c r="A50" s="5">
        <v>35109030894</v>
      </c>
      <c r="B50" s="6" t="s">
        <v>177</v>
      </c>
      <c r="C50" s="6" t="s">
        <v>178</v>
      </c>
      <c r="D50" s="6" t="s">
        <v>191</v>
      </c>
      <c r="E50" s="6" t="s">
        <v>357</v>
      </c>
      <c r="F50" s="7" t="s">
        <v>243</v>
      </c>
      <c r="G50" s="10" t="s">
        <v>26</v>
      </c>
      <c r="H50" s="10" t="s">
        <v>179</v>
      </c>
      <c r="I50" s="9">
        <v>9700</v>
      </c>
      <c r="J50" s="9" t="s">
        <v>226</v>
      </c>
      <c r="K50" s="9" t="s">
        <v>237</v>
      </c>
    </row>
    <row r="51" spans="1:11" x14ac:dyDescent="0.25">
      <c r="A51" s="5">
        <v>35909050610</v>
      </c>
      <c r="B51" s="6" t="s">
        <v>10</v>
      </c>
      <c r="C51" s="6" t="s">
        <v>11</v>
      </c>
      <c r="D51" s="6" t="s">
        <v>187</v>
      </c>
      <c r="E51" s="6" t="s">
        <v>274</v>
      </c>
      <c r="F51" s="7" t="s">
        <v>245</v>
      </c>
      <c r="G51" s="10" t="s">
        <v>12</v>
      </c>
      <c r="H51" s="10" t="s">
        <v>13</v>
      </c>
      <c r="I51" s="9">
        <v>8500</v>
      </c>
      <c r="J51" s="9" t="s">
        <v>231</v>
      </c>
      <c r="K51" s="9" t="s">
        <v>234</v>
      </c>
    </row>
    <row r="52" spans="1:11" x14ac:dyDescent="0.25">
      <c r="A52" s="5">
        <v>48308230166</v>
      </c>
      <c r="B52" s="6" t="s">
        <v>49</v>
      </c>
      <c r="C52" s="6" t="s">
        <v>50</v>
      </c>
      <c r="D52" s="6" t="s">
        <v>186</v>
      </c>
      <c r="E52" s="6" t="s">
        <v>288</v>
      </c>
      <c r="F52" s="7" t="s">
        <v>243</v>
      </c>
      <c r="G52" s="10" t="s">
        <v>35</v>
      </c>
      <c r="H52" s="10" t="s">
        <v>13</v>
      </c>
      <c r="I52" s="9">
        <v>7700</v>
      </c>
      <c r="J52" s="9" t="s">
        <v>232</v>
      </c>
      <c r="K52" s="9" t="s">
        <v>237</v>
      </c>
    </row>
    <row r="53" spans="1:11" x14ac:dyDescent="0.25">
      <c r="A53" s="5">
        <v>34508020335</v>
      </c>
      <c r="B53" s="6" t="s">
        <v>66</v>
      </c>
      <c r="C53" s="6" t="s">
        <v>67</v>
      </c>
      <c r="D53" s="6" t="s">
        <v>201</v>
      </c>
      <c r="E53" s="6" t="s">
        <v>282</v>
      </c>
      <c r="F53" s="7" t="s">
        <v>243</v>
      </c>
      <c r="G53" s="10" t="s">
        <v>19</v>
      </c>
      <c r="H53" s="10" t="s">
        <v>13</v>
      </c>
      <c r="I53" s="9">
        <v>10800</v>
      </c>
      <c r="J53" s="9" t="s">
        <v>226</v>
      </c>
      <c r="K53" s="9" t="s">
        <v>235</v>
      </c>
    </row>
    <row r="54" spans="1:11" x14ac:dyDescent="0.25">
      <c r="A54" s="5">
        <v>34606190557</v>
      </c>
      <c r="B54" s="6" t="s">
        <v>68</v>
      </c>
      <c r="C54" s="6" t="s">
        <v>67</v>
      </c>
      <c r="D54" s="6" t="s">
        <v>186</v>
      </c>
      <c r="E54" s="6" t="s">
        <v>296</v>
      </c>
      <c r="F54" s="7" t="s">
        <v>242</v>
      </c>
      <c r="G54" s="10" t="s">
        <v>19</v>
      </c>
      <c r="H54" s="10" t="s">
        <v>13</v>
      </c>
      <c r="I54" s="9">
        <v>8600</v>
      </c>
      <c r="J54" s="9" t="s">
        <v>224</v>
      </c>
      <c r="K54" s="9" t="s">
        <v>239</v>
      </c>
    </row>
    <row r="55" spans="1:11" x14ac:dyDescent="0.25">
      <c r="A55" s="5">
        <v>34212180084</v>
      </c>
      <c r="B55" s="6" t="s">
        <v>73</v>
      </c>
      <c r="C55" s="6" t="s">
        <v>74</v>
      </c>
      <c r="D55" s="6" t="s">
        <v>194</v>
      </c>
      <c r="E55" s="6" t="s">
        <v>299</v>
      </c>
      <c r="F55" s="7" t="s">
        <v>244</v>
      </c>
      <c r="G55" s="10" t="s">
        <v>12</v>
      </c>
      <c r="H55" s="10" t="s">
        <v>13</v>
      </c>
      <c r="I55" s="9">
        <v>8600</v>
      </c>
      <c r="J55" s="9" t="s">
        <v>231</v>
      </c>
      <c r="K55" s="9" t="s">
        <v>234</v>
      </c>
    </row>
    <row r="56" spans="1:11" x14ac:dyDescent="0.25">
      <c r="A56" s="5">
        <v>35508240148</v>
      </c>
      <c r="B56" s="6" t="s">
        <v>28</v>
      </c>
      <c r="C56" s="6" t="s">
        <v>81</v>
      </c>
      <c r="D56" s="6" t="s">
        <v>203</v>
      </c>
      <c r="E56" s="6" t="s">
        <v>303</v>
      </c>
      <c r="F56" s="7" t="s">
        <v>272</v>
      </c>
      <c r="G56" s="10" t="s">
        <v>12</v>
      </c>
      <c r="H56" s="10" t="s">
        <v>13</v>
      </c>
      <c r="I56" s="9">
        <v>9800</v>
      </c>
      <c r="J56" s="9" t="s">
        <v>225</v>
      </c>
      <c r="K56" s="9" t="s">
        <v>233</v>
      </c>
    </row>
    <row r="57" spans="1:11" x14ac:dyDescent="0.25">
      <c r="A57" s="5">
        <v>36303030988</v>
      </c>
      <c r="B57" s="6" t="s">
        <v>87</v>
      </c>
      <c r="C57" s="6" t="s">
        <v>88</v>
      </c>
      <c r="D57" s="6" t="s">
        <v>189</v>
      </c>
      <c r="E57" s="6" t="s">
        <v>307</v>
      </c>
      <c r="F57" s="7" t="s">
        <v>245</v>
      </c>
      <c r="G57" s="10" t="s">
        <v>12</v>
      </c>
      <c r="H57" s="10" t="s">
        <v>13</v>
      </c>
      <c r="I57" s="9">
        <v>8700</v>
      </c>
      <c r="J57" s="9" t="s">
        <v>228</v>
      </c>
      <c r="K57" s="9" t="s">
        <v>236</v>
      </c>
    </row>
    <row r="58" spans="1:11" x14ac:dyDescent="0.25">
      <c r="A58" s="5">
        <v>37403030624</v>
      </c>
      <c r="B58" s="6" t="s">
        <v>124</v>
      </c>
      <c r="C58" s="6" t="s">
        <v>125</v>
      </c>
      <c r="D58" s="6" t="s">
        <v>201</v>
      </c>
      <c r="E58" s="6" t="s">
        <v>327</v>
      </c>
      <c r="F58" s="7" t="s">
        <v>244</v>
      </c>
      <c r="G58" s="10" t="s">
        <v>19</v>
      </c>
      <c r="H58" s="10" t="s">
        <v>13</v>
      </c>
      <c r="I58" s="9">
        <v>11200</v>
      </c>
      <c r="J58" s="9" t="s">
        <v>232</v>
      </c>
      <c r="K58" s="9" t="s">
        <v>234</v>
      </c>
    </row>
    <row r="59" spans="1:11" x14ac:dyDescent="0.25">
      <c r="A59" s="5">
        <v>48209130038</v>
      </c>
      <c r="B59" s="6" t="s">
        <v>140</v>
      </c>
      <c r="C59" s="6" t="s">
        <v>141</v>
      </c>
      <c r="D59" s="6" t="s">
        <v>186</v>
      </c>
      <c r="E59" s="6" t="s">
        <v>337</v>
      </c>
      <c r="F59" s="7" t="s">
        <v>244</v>
      </c>
      <c r="G59" s="10" t="s">
        <v>35</v>
      </c>
      <c r="H59" s="10" t="s">
        <v>13</v>
      </c>
      <c r="I59" s="9">
        <v>7600</v>
      </c>
      <c r="J59" s="9" t="s">
        <v>227</v>
      </c>
      <c r="K59" s="9" t="s">
        <v>234</v>
      </c>
    </row>
    <row r="60" spans="1:11" x14ac:dyDescent="0.25">
      <c r="A60" s="5">
        <v>37103260243</v>
      </c>
      <c r="B60" s="6" t="s">
        <v>157</v>
      </c>
      <c r="C60" s="6" t="s">
        <v>156</v>
      </c>
      <c r="D60" s="6" t="s">
        <v>199</v>
      </c>
      <c r="E60" s="6" t="s">
        <v>345</v>
      </c>
      <c r="F60" s="7" t="s">
        <v>243</v>
      </c>
      <c r="G60" s="10" t="s">
        <v>35</v>
      </c>
      <c r="H60" s="10" t="s">
        <v>13</v>
      </c>
      <c r="I60" s="9">
        <v>9600</v>
      </c>
      <c r="J60" s="9" t="s">
        <v>217</v>
      </c>
      <c r="K60" s="9" t="s">
        <v>234</v>
      </c>
    </row>
    <row r="61" spans="1:11" x14ac:dyDescent="0.25">
      <c r="A61" s="5">
        <v>46003030319</v>
      </c>
      <c r="B61" s="6" t="s">
        <v>159</v>
      </c>
      <c r="C61" s="6" t="s">
        <v>160</v>
      </c>
      <c r="D61" s="6" t="s">
        <v>191</v>
      </c>
      <c r="E61" s="6" t="s">
        <v>347</v>
      </c>
      <c r="F61" s="7" t="s">
        <v>243</v>
      </c>
      <c r="G61" s="10" t="s">
        <v>12</v>
      </c>
      <c r="H61" s="10" t="s">
        <v>13</v>
      </c>
      <c r="I61" s="9">
        <v>9600</v>
      </c>
      <c r="J61" s="9" t="s">
        <v>229</v>
      </c>
      <c r="K61" s="9" t="s">
        <v>237</v>
      </c>
    </row>
    <row r="62" spans="1:11" x14ac:dyDescent="0.25">
      <c r="A62" s="5">
        <v>38006080465</v>
      </c>
      <c r="B62" s="6" t="s">
        <v>174</v>
      </c>
      <c r="C62" s="6" t="s">
        <v>175</v>
      </c>
      <c r="D62" s="6" t="s">
        <v>206</v>
      </c>
      <c r="E62" s="6" t="s">
        <v>356</v>
      </c>
      <c r="F62" s="7" t="s">
        <v>244</v>
      </c>
      <c r="G62" s="10" t="s">
        <v>12</v>
      </c>
      <c r="H62" s="10" t="s">
        <v>13</v>
      </c>
      <c r="I62" s="9">
        <v>8600</v>
      </c>
      <c r="J62" s="9" t="s">
        <v>232</v>
      </c>
      <c r="K62" s="9" t="s">
        <v>237</v>
      </c>
    </row>
    <row r="63" spans="1:11" x14ac:dyDescent="0.25">
      <c r="A63" s="5">
        <v>36809040675</v>
      </c>
      <c r="B63" s="6" t="s">
        <v>17</v>
      </c>
      <c r="C63" s="6" t="s">
        <v>18</v>
      </c>
      <c r="D63" s="6" t="s">
        <v>186</v>
      </c>
      <c r="E63" s="6" t="s">
        <v>276</v>
      </c>
      <c r="F63" s="7" t="s">
        <v>243</v>
      </c>
      <c r="G63" s="10" t="s">
        <v>19</v>
      </c>
      <c r="H63" s="10" t="s">
        <v>20</v>
      </c>
      <c r="I63" s="9">
        <v>8500</v>
      </c>
      <c r="J63" s="9" t="s">
        <v>222</v>
      </c>
      <c r="K63" s="9" t="s">
        <v>235</v>
      </c>
    </row>
    <row r="64" spans="1:11" x14ac:dyDescent="0.25">
      <c r="A64" s="5">
        <v>35204120460</v>
      </c>
      <c r="B64" s="6" t="s">
        <v>56</v>
      </c>
      <c r="C64" s="6" t="s">
        <v>57</v>
      </c>
      <c r="D64" s="6" t="s">
        <v>198</v>
      </c>
      <c r="E64" s="6" t="s">
        <v>292</v>
      </c>
      <c r="F64" s="7" t="s">
        <v>243</v>
      </c>
      <c r="G64" s="8" t="s">
        <v>8</v>
      </c>
      <c r="H64" s="8" t="s">
        <v>58</v>
      </c>
      <c r="I64" s="9">
        <v>10270</v>
      </c>
      <c r="J64" s="9" t="s">
        <v>230</v>
      </c>
      <c r="K64" s="9" t="s">
        <v>236</v>
      </c>
    </row>
    <row r="65" spans="1:11" x14ac:dyDescent="0.25">
      <c r="A65" s="5">
        <v>36612210549</v>
      </c>
      <c r="B65" s="6" t="s">
        <v>84</v>
      </c>
      <c r="C65" s="6" t="s">
        <v>85</v>
      </c>
      <c r="D65" s="6" t="s">
        <v>204</v>
      </c>
      <c r="E65" s="6" t="s">
        <v>305</v>
      </c>
      <c r="F65" s="7" t="s">
        <v>243</v>
      </c>
      <c r="G65" s="8" t="s">
        <v>8</v>
      </c>
      <c r="H65" s="8" t="s">
        <v>58</v>
      </c>
      <c r="I65" s="9">
        <v>11500</v>
      </c>
      <c r="J65" s="9" t="s">
        <v>230</v>
      </c>
      <c r="K65" s="9" t="s">
        <v>233</v>
      </c>
    </row>
    <row r="66" spans="1:11" x14ac:dyDescent="0.25">
      <c r="A66" s="5">
        <v>38403010526</v>
      </c>
      <c r="B66" s="6" t="s">
        <v>14</v>
      </c>
      <c r="C66" s="6" t="s">
        <v>95</v>
      </c>
      <c r="D66" s="6" t="s">
        <v>208</v>
      </c>
      <c r="E66" s="6" t="s">
        <v>312</v>
      </c>
      <c r="F66" s="7" t="s">
        <v>272</v>
      </c>
      <c r="G66" s="10" t="s">
        <v>8</v>
      </c>
      <c r="H66" s="10" t="s">
        <v>58</v>
      </c>
      <c r="I66" s="9">
        <v>11800</v>
      </c>
      <c r="J66" s="9" t="s">
        <v>232</v>
      </c>
      <c r="K66" s="9" t="s">
        <v>233</v>
      </c>
    </row>
    <row r="67" spans="1:11" x14ac:dyDescent="0.25">
      <c r="A67" s="5">
        <v>38108200347</v>
      </c>
      <c r="B67" s="6" t="s">
        <v>176</v>
      </c>
      <c r="C67" s="6" t="s">
        <v>175</v>
      </c>
      <c r="D67" s="6" t="s">
        <v>207</v>
      </c>
      <c r="E67" s="6" t="s">
        <v>356</v>
      </c>
      <c r="F67" s="7" t="s">
        <v>243</v>
      </c>
      <c r="G67" s="10" t="s">
        <v>8</v>
      </c>
      <c r="H67" s="10" t="s">
        <v>58</v>
      </c>
      <c r="I67" s="9">
        <v>13500</v>
      </c>
      <c r="J67" s="9" t="s">
        <v>230</v>
      </c>
      <c r="K67" s="9" t="s">
        <v>237</v>
      </c>
    </row>
    <row r="68" spans="1:11" x14ac:dyDescent="0.25">
      <c r="A68" s="5">
        <v>36506070555</v>
      </c>
      <c r="B68" s="6" t="s">
        <v>6</v>
      </c>
      <c r="C68" s="6" t="s">
        <v>7</v>
      </c>
      <c r="D68" s="6" t="s">
        <v>186</v>
      </c>
      <c r="E68" s="6" t="s">
        <v>273</v>
      </c>
      <c r="F68" s="7" t="s">
        <v>272</v>
      </c>
      <c r="G68" s="8" t="s">
        <v>8</v>
      </c>
      <c r="H68" s="8" t="s">
        <v>9</v>
      </c>
      <c r="I68" s="9">
        <v>7200</v>
      </c>
      <c r="J68" s="9" t="s">
        <v>218</v>
      </c>
      <c r="K68" s="9" t="s">
        <v>233</v>
      </c>
    </row>
    <row r="69" spans="1:11" x14ac:dyDescent="0.25">
      <c r="A69" s="5">
        <v>37808220891</v>
      </c>
      <c r="B69" s="6" t="s">
        <v>31</v>
      </c>
      <c r="C69" s="6" t="s">
        <v>32</v>
      </c>
      <c r="D69" s="6" t="s">
        <v>191</v>
      </c>
      <c r="E69" s="6" t="s">
        <v>280</v>
      </c>
      <c r="F69" s="7" t="s">
        <v>243</v>
      </c>
      <c r="G69" s="10" t="s">
        <v>8</v>
      </c>
      <c r="H69" s="10" t="s">
        <v>9</v>
      </c>
      <c r="I69" s="9">
        <v>10500</v>
      </c>
      <c r="J69" s="9" t="s">
        <v>221</v>
      </c>
      <c r="K69" s="9" t="s">
        <v>237</v>
      </c>
    </row>
    <row r="70" spans="1:11" x14ac:dyDescent="0.25">
      <c r="A70" s="5">
        <v>35101130124</v>
      </c>
      <c r="B70" s="6" t="s">
        <v>41</v>
      </c>
      <c r="C70" s="6" t="s">
        <v>38</v>
      </c>
      <c r="D70" s="6" t="s">
        <v>193</v>
      </c>
      <c r="E70" s="6" t="s">
        <v>283</v>
      </c>
      <c r="F70" s="7" t="s">
        <v>244</v>
      </c>
      <c r="G70" s="10" t="s">
        <v>22</v>
      </c>
      <c r="H70" s="10" t="s">
        <v>9</v>
      </c>
      <c r="I70" s="9">
        <v>7600</v>
      </c>
      <c r="J70" s="9" t="s">
        <v>228</v>
      </c>
      <c r="K70" s="9" t="s">
        <v>237</v>
      </c>
    </row>
    <row r="71" spans="1:11" x14ac:dyDescent="0.25">
      <c r="A71" s="5">
        <v>45909140289</v>
      </c>
      <c r="B71" s="6" t="s">
        <v>42</v>
      </c>
      <c r="C71" s="6" t="s">
        <v>38</v>
      </c>
      <c r="D71" s="6" t="s">
        <v>194</v>
      </c>
      <c r="E71" s="6" t="s">
        <v>284</v>
      </c>
      <c r="F71" s="7" t="s">
        <v>242</v>
      </c>
      <c r="G71" s="8" t="s">
        <v>8</v>
      </c>
      <c r="H71" s="8" t="s">
        <v>9</v>
      </c>
      <c r="I71" s="9">
        <v>8700</v>
      </c>
      <c r="J71" s="9" t="s">
        <v>232</v>
      </c>
      <c r="K71" s="9" t="s">
        <v>233</v>
      </c>
    </row>
    <row r="72" spans="1:11" x14ac:dyDescent="0.25">
      <c r="A72" s="5">
        <v>38306070961</v>
      </c>
      <c r="B72" s="6" t="s">
        <v>51</v>
      </c>
      <c r="C72" s="6" t="s">
        <v>50</v>
      </c>
      <c r="D72" s="6" t="s">
        <v>197</v>
      </c>
      <c r="E72" s="6" t="s">
        <v>289</v>
      </c>
      <c r="F72" s="7" t="s">
        <v>243</v>
      </c>
      <c r="G72" s="10" t="s">
        <v>8</v>
      </c>
      <c r="H72" s="10" t="s">
        <v>9</v>
      </c>
      <c r="I72" s="9">
        <v>8300</v>
      </c>
      <c r="J72" s="9" t="s">
        <v>218</v>
      </c>
      <c r="K72" s="9" t="s">
        <v>233</v>
      </c>
    </row>
    <row r="73" spans="1:11" x14ac:dyDescent="0.25">
      <c r="A73" s="5">
        <v>48205090295</v>
      </c>
      <c r="B73" s="6" t="s">
        <v>60</v>
      </c>
      <c r="C73" s="6" t="s">
        <v>61</v>
      </c>
      <c r="D73" s="6" t="s">
        <v>199</v>
      </c>
      <c r="E73" s="6" t="s">
        <v>293</v>
      </c>
      <c r="F73" s="7" t="s">
        <v>243</v>
      </c>
      <c r="G73" s="10" t="s">
        <v>8</v>
      </c>
      <c r="H73" s="10" t="s">
        <v>9</v>
      </c>
      <c r="I73" s="9">
        <v>11200</v>
      </c>
      <c r="J73" s="9" t="s">
        <v>228</v>
      </c>
      <c r="K73" s="9" t="s">
        <v>234</v>
      </c>
    </row>
    <row r="74" spans="1:11" x14ac:dyDescent="0.25">
      <c r="A74" s="5">
        <v>38105180669</v>
      </c>
      <c r="B74" s="6" t="s">
        <v>69</v>
      </c>
      <c r="C74" s="6" t="s">
        <v>70</v>
      </c>
      <c r="D74" s="6" t="s">
        <v>191</v>
      </c>
      <c r="E74" s="6" t="s">
        <v>297</v>
      </c>
      <c r="F74" s="7" t="s">
        <v>272</v>
      </c>
      <c r="G74" s="10" t="s">
        <v>8</v>
      </c>
      <c r="H74" s="10" t="s">
        <v>9</v>
      </c>
      <c r="I74" s="9">
        <v>9600</v>
      </c>
      <c r="J74" s="9" t="s">
        <v>226</v>
      </c>
      <c r="K74" s="9" t="s">
        <v>234</v>
      </c>
    </row>
    <row r="75" spans="1:11" x14ac:dyDescent="0.25">
      <c r="A75" s="5">
        <v>46809190988</v>
      </c>
      <c r="B75" s="6" t="s">
        <v>77</v>
      </c>
      <c r="C75" s="6" t="s">
        <v>78</v>
      </c>
      <c r="D75" s="6" t="s">
        <v>195</v>
      </c>
      <c r="E75" s="6" t="s">
        <v>301</v>
      </c>
      <c r="F75" s="7" t="s">
        <v>245</v>
      </c>
      <c r="G75" s="10" t="s">
        <v>22</v>
      </c>
      <c r="H75" s="10" t="s">
        <v>9</v>
      </c>
      <c r="I75" s="9">
        <v>7700</v>
      </c>
      <c r="J75" s="9" t="s">
        <v>229</v>
      </c>
      <c r="K75" s="9" t="s">
        <v>234</v>
      </c>
    </row>
    <row r="76" spans="1:11" x14ac:dyDescent="0.25">
      <c r="A76" s="5">
        <v>37712170754</v>
      </c>
      <c r="B76" s="6" t="s">
        <v>68</v>
      </c>
      <c r="C76" s="6" t="s">
        <v>86</v>
      </c>
      <c r="D76" s="6" t="s">
        <v>186</v>
      </c>
      <c r="E76" s="6" t="s">
        <v>306</v>
      </c>
      <c r="F76" s="7" t="s">
        <v>244</v>
      </c>
      <c r="G76" s="10" t="s">
        <v>8</v>
      </c>
      <c r="H76" s="10" t="s">
        <v>9</v>
      </c>
      <c r="I76" s="9">
        <v>8500</v>
      </c>
      <c r="J76" s="9" t="s">
        <v>232</v>
      </c>
      <c r="K76" s="9" t="s">
        <v>233</v>
      </c>
    </row>
    <row r="77" spans="1:11" x14ac:dyDescent="0.25">
      <c r="A77" s="5">
        <v>37408230939</v>
      </c>
      <c r="B77" s="6" t="s">
        <v>89</v>
      </c>
      <c r="C77" s="6" t="s">
        <v>90</v>
      </c>
      <c r="D77" s="6" t="s">
        <v>201</v>
      </c>
      <c r="E77" s="6" t="s">
        <v>308</v>
      </c>
      <c r="F77" s="7" t="s">
        <v>242</v>
      </c>
      <c r="G77" s="8" t="s">
        <v>8</v>
      </c>
      <c r="H77" s="8" t="s">
        <v>9</v>
      </c>
      <c r="I77" s="9">
        <v>10300</v>
      </c>
      <c r="J77" s="9" t="s">
        <v>224</v>
      </c>
      <c r="K77" s="9" t="s">
        <v>239</v>
      </c>
    </row>
    <row r="78" spans="1:11" x14ac:dyDescent="0.25">
      <c r="A78" s="5">
        <v>37007260696</v>
      </c>
      <c r="B78" s="6" t="s">
        <v>56</v>
      </c>
      <c r="C78" s="6" t="s">
        <v>93</v>
      </c>
      <c r="D78" s="6" t="s">
        <v>207</v>
      </c>
      <c r="E78" s="6" t="s">
        <v>310</v>
      </c>
      <c r="F78" s="7" t="s">
        <v>243</v>
      </c>
      <c r="G78" s="8" t="s">
        <v>22</v>
      </c>
      <c r="H78" s="8" t="s">
        <v>9</v>
      </c>
      <c r="I78" s="9">
        <v>7500</v>
      </c>
      <c r="J78" s="9" t="s">
        <v>226</v>
      </c>
      <c r="K78" s="9" t="s">
        <v>237</v>
      </c>
    </row>
    <row r="79" spans="1:11" x14ac:dyDescent="0.25">
      <c r="A79" s="5">
        <v>38311130833</v>
      </c>
      <c r="B79" s="6" t="s">
        <v>99</v>
      </c>
      <c r="C79" s="6" t="s">
        <v>100</v>
      </c>
      <c r="D79" s="6" t="s">
        <v>205</v>
      </c>
      <c r="E79" s="6" t="s">
        <v>315</v>
      </c>
      <c r="F79" s="7" t="s">
        <v>243</v>
      </c>
      <c r="G79" s="10" t="s">
        <v>8</v>
      </c>
      <c r="H79" s="10" t="s">
        <v>9</v>
      </c>
      <c r="I79" s="9">
        <v>7500</v>
      </c>
      <c r="J79" s="9" t="s">
        <v>231</v>
      </c>
      <c r="K79" s="9" t="s">
        <v>234</v>
      </c>
    </row>
    <row r="80" spans="1:11" x14ac:dyDescent="0.25">
      <c r="A80" s="5">
        <v>47608150058</v>
      </c>
      <c r="B80" s="6" t="s">
        <v>101</v>
      </c>
      <c r="C80" s="6" t="s">
        <v>102</v>
      </c>
      <c r="D80" s="6" t="s">
        <v>204</v>
      </c>
      <c r="E80" s="6" t="s">
        <v>316</v>
      </c>
      <c r="F80" s="7" t="s">
        <v>243</v>
      </c>
      <c r="G80" s="10" t="s">
        <v>8</v>
      </c>
      <c r="H80" s="10" t="s">
        <v>9</v>
      </c>
      <c r="I80" s="9">
        <v>9700</v>
      </c>
      <c r="J80" s="9" t="s">
        <v>225</v>
      </c>
      <c r="K80" s="9" t="s">
        <v>235</v>
      </c>
    </row>
    <row r="81" spans="1:11" x14ac:dyDescent="0.25">
      <c r="A81" s="5">
        <v>34304170615</v>
      </c>
      <c r="B81" s="6" t="s">
        <v>103</v>
      </c>
      <c r="C81" s="6" t="s">
        <v>104</v>
      </c>
      <c r="D81" s="6" t="s">
        <v>201</v>
      </c>
      <c r="E81" s="6" t="s">
        <v>317</v>
      </c>
      <c r="F81" s="7" t="s">
        <v>243</v>
      </c>
      <c r="G81" s="10" t="s">
        <v>8</v>
      </c>
      <c r="H81" s="10" t="s">
        <v>9</v>
      </c>
      <c r="I81" s="9">
        <v>7600</v>
      </c>
      <c r="J81" s="9" t="s">
        <v>231</v>
      </c>
      <c r="K81" s="9" t="s">
        <v>237</v>
      </c>
    </row>
    <row r="82" spans="1:11" x14ac:dyDescent="0.25">
      <c r="A82" s="5">
        <v>45810100356</v>
      </c>
      <c r="B82" s="6" t="s">
        <v>105</v>
      </c>
      <c r="C82" s="6" t="s">
        <v>106</v>
      </c>
      <c r="D82" s="6" t="s">
        <v>211</v>
      </c>
      <c r="E82" s="6" t="s">
        <v>318</v>
      </c>
      <c r="F82" s="7" t="s">
        <v>243</v>
      </c>
      <c r="G82" s="10" t="s">
        <v>8</v>
      </c>
      <c r="H82" s="10" t="s">
        <v>9</v>
      </c>
      <c r="I82" s="9">
        <v>10800</v>
      </c>
      <c r="J82" s="9" t="s">
        <v>217</v>
      </c>
      <c r="K82" s="9" t="s">
        <v>237</v>
      </c>
    </row>
    <row r="83" spans="1:11" x14ac:dyDescent="0.25">
      <c r="A83" s="5">
        <v>46002200391</v>
      </c>
      <c r="B83" s="6" t="s">
        <v>107</v>
      </c>
      <c r="C83" s="6" t="s">
        <v>106</v>
      </c>
      <c r="D83" s="6" t="s">
        <v>209</v>
      </c>
      <c r="E83" s="6" t="s">
        <v>319</v>
      </c>
      <c r="F83" s="7" t="s">
        <v>243</v>
      </c>
      <c r="G83" s="10" t="s">
        <v>8</v>
      </c>
      <c r="H83" s="10" t="s">
        <v>9</v>
      </c>
      <c r="I83" s="9">
        <v>10700</v>
      </c>
      <c r="J83" s="9" t="s">
        <v>228</v>
      </c>
      <c r="K83" s="9" t="s">
        <v>237</v>
      </c>
    </row>
    <row r="84" spans="1:11" x14ac:dyDescent="0.25">
      <c r="A84" s="5">
        <v>46407080393</v>
      </c>
      <c r="B84" s="6" t="s">
        <v>109</v>
      </c>
      <c r="C84" s="6" t="s">
        <v>110</v>
      </c>
      <c r="D84" s="6" t="s">
        <v>214</v>
      </c>
      <c r="E84" s="6" t="s">
        <v>308</v>
      </c>
      <c r="F84" s="7" t="s">
        <v>243</v>
      </c>
      <c r="G84" s="10" t="s">
        <v>22</v>
      </c>
      <c r="H84" s="10" t="s">
        <v>9</v>
      </c>
      <c r="I84" s="9">
        <v>7500</v>
      </c>
      <c r="J84" s="9" t="s">
        <v>226</v>
      </c>
      <c r="K84" s="9" t="s">
        <v>234</v>
      </c>
    </row>
    <row r="85" spans="1:11" x14ac:dyDescent="0.25">
      <c r="A85" s="5">
        <v>47705040659</v>
      </c>
      <c r="B85" s="6" t="s">
        <v>31</v>
      </c>
      <c r="C85" s="6" t="s">
        <v>113</v>
      </c>
      <c r="D85" s="6" t="s">
        <v>193</v>
      </c>
      <c r="E85" s="6" t="s">
        <v>322</v>
      </c>
      <c r="F85" s="7" t="s">
        <v>243</v>
      </c>
      <c r="G85" s="10" t="s">
        <v>22</v>
      </c>
      <c r="H85" s="10" t="s">
        <v>9</v>
      </c>
      <c r="I85" s="9">
        <v>9600</v>
      </c>
      <c r="J85" s="9" t="s">
        <v>217</v>
      </c>
      <c r="K85" s="9" t="s">
        <v>233</v>
      </c>
    </row>
    <row r="86" spans="1:11" x14ac:dyDescent="0.25">
      <c r="A86" s="5">
        <v>47211150090</v>
      </c>
      <c r="B86" s="6" t="s">
        <v>121</v>
      </c>
      <c r="C86" s="6" t="s">
        <v>122</v>
      </c>
      <c r="D86" s="6" t="s">
        <v>210</v>
      </c>
      <c r="E86" s="6" t="s">
        <v>325</v>
      </c>
      <c r="F86" s="7" t="s">
        <v>244</v>
      </c>
      <c r="G86" s="10" t="s">
        <v>8</v>
      </c>
      <c r="H86" s="10" t="s">
        <v>9</v>
      </c>
      <c r="I86" s="9">
        <v>8500</v>
      </c>
      <c r="J86" s="9" t="s">
        <v>227</v>
      </c>
      <c r="K86" s="9" t="s">
        <v>234</v>
      </c>
    </row>
    <row r="87" spans="1:11" x14ac:dyDescent="0.25">
      <c r="A87" s="5">
        <v>44112150956</v>
      </c>
      <c r="B87" s="6" t="s">
        <v>31</v>
      </c>
      <c r="C87" s="6" t="s">
        <v>123</v>
      </c>
      <c r="D87" s="6" t="s">
        <v>199</v>
      </c>
      <c r="E87" s="6" t="s">
        <v>326</v>
      </c>
      <c r="F87" s="7" t="s">
        <v>272</v>
      </c>
      <c r="G87" s="10" t="s">
        <v>8</v>
      </c>
      <c r="H87" s="10" t="s">
        <v>9</v>
      </c>
      <c r="I87" s="9">
        <v>11900</v>
      </c>
      <c r="J87" s="9" t="s">
        <v>217</v>
      </c>
      <c r="K87" s="9" t="s">
        <v>234</v>
      </c>
    </row>
    <row r="88" spans="1:11" x14ac:dyDescent="0.25">
      <c r="A88" s="5">
        <v>38204220473</v>
      </c>
      <c r="B88" s="6" t="s">
        <v>116</v>
      </c>
      <c r="C88" s="6" t="s">
        <v>134</v>
      </c>
      <c r="D88" s="6" t="s">
        <v>200</v>
      </c>
      <c r="E88" s="6" t="s">
        <v>331</v>
      </c>
      <c r="F88" s="7" t="s">
        <v>245</v>
      </c>
      <c r="G88" s="10" t="s">
        <v>8</v>
      </c>
      <c r="H88" s="10" t="s">
        <v>9</v>
      </c>
      <c r="I88" s="9">
        <v>10700</v>
      </c>
      <c r="J88" s="9" t="s">
        <v>227</v>
      </c>
      <c r="K88" s="9" t="s">
        <v>233</v>
      </c>
    </row>
    <row r="89" spans="1:11" x14ac:dyDescent="0.25">
      <c r="A89" s="5">
        <v>37211200348</v>
      </c>
      <c r="B89" s="6" t="s">
        <v>119</v>
      </c>
      <c r="C89" s="6" t="s">
        <v>134</v>
      </c>
      <c r="D89" s="6" t="s">
        <v>186</v>
      </c>
      <c r="E89" s="6" t="s">
        <v>332</v>
      </c>
      <c r="F89" s="7" t="s">
        <v>243</v>
      </c>
      <c r="G89" s="10" t="s">
        <v>8</v>
      </c>
      <c r="H89" s="10" t="s">
        <v>9</v>
      </c>
      <c r="I89" s="9">
        <v>9300</v>
      </c>
      <c r="J89" s="9" t="s">
        <v>217</v>
      </c>
      <c r="K89" s="9" t="s">
        <v>234</v>
      </c>
    </row>
    <row r="90" spans="1:11" x14ac:dyDescent="0.25">
      <c r="A90" s="5">
        <v>34910190405</v>
      </c>
      <c r="B90" s="6" t="s">
        <v>142</v>
      </c>
      <c r="C90" s="6" t="s">
        <v>143</v>
      </c>
      <c r="D90" s="6" t="s">
        <v>210</v>
      </c>
      <c r="E90" s="6" t="s">
        <v>338</v>
      </c>
      <c r="F90" s="7" t="s">
        <v>272</v>
      </c>
      <c r="G90" s="10" t="s">
        <v>8</v>
      </c>
      <c r="H90" s="10" t="s">
        <v>9</v>
      </c>
      <c r="I90" s="9">
        <v>11400</v>
      </c>
      <c r="J90" s="9" t="s">
        <v>228</v>
      </c>
      <c r="K90" s="9" t="s">
        <v>234</v>
      </c>
    </row>
    <row r="91" spans="1:11" x14ac:dyDescent="0.25">
      <c r="A91" s="5">
        <v>34911280456</v>
      </c>
      <c r="B91" s="6" t="s">
        <v>144</v>
      </c>
      <c r="C91" s="6" t="s">
        <v>145</v>
      </c>
      <c r="D91" s="6" t="s">
        <v>209</v>
      </c>
      <c r="E91" s="6" t="s">
        <v>339</v>
      </c>
      <c r="F91" s="7" t="s">
        <v>243</v>
      </c>
      <c r="G91" s="10" t="s">
        <v>22</v>
      </c>
      <c r="H91" s="10" t="s">
        <v>9</v>
      </c>
      <c r="I91" s="9">
        <v>10700</v>
      </c>
      <c r="J91" s="9" t="s">
        <v>222</v>
      </c>
      <c r="K91" s="9" t="s">
        <v>233</v>
      </c>
    </row>
    <row r="92" spans="1:11" x14ac:dyDescent="0.25">
      <c r="A92" s="5">
        <v>37205220288</v>
      </c>
      <c r="B92" s="6" t="s">
        <v>105</v>
      </c>
      <c r="C92" s="6" t="s">
        <v>148</v>
      </c>
      <c r="D92" s="6" t="s">
        <v>194</v>
      </c>
      <c r="E92" s="6" t="s">
        <v>340</v>
      </c>
      <c r="F92" s="7" t="s">
        <v>272</v>
      </c>
      <c r="G92" s="10" t="s">
        <v>8</v>
      </c>
      <c r="H92" s="10" t="s">
        <v>9</v>
      </c>
      <c r="I92" s="9">
        <v>11300</v>
      </c>
      <c r="J92" s="9" t="s">
        <v>231</v>
      </c>
      <c r="K92" s="9" t="s">
        <v>236</v>
      </c>
    </row>
    <row r="93" spans="1:11" x14ac:dyDescent="0.25">
      <c r="A93" s="5">
        <v>37106180544</v>
      </c>
      <c r="B93" s="6" t="s">
        <v>77</v>
      </c>
      <c r="C93" s="6" t="s">
        <v>150</v>
      </c>
      <c r="D93" s="6" t="s">
        <v>211</v>
      </c>
      <c r="E93" s="6" t="s">
        <v>342</v>
      </c>
      <c r="F93" s="7" t="s">
        <v>272</v>
      </c>
      <c r="G93" s="10" t="s">
        <v>8</v>
      </c>
      <c r="H93" s="10" t="s">
        <v>9</v>
      </c>
      <c r="I93" s="9">
        <v>8600</v>
      </c>
      <c r="J93" s="9" t="s">
        <v>225</v>
      </c>
      <c r="K93" s="9" t="s">
        <v>233</v>
      </c>
    </row>
    <row r="94" spans="1:11" x14ac:dyDescent="0.25">
      <c r="A94" s="5">
        <v>44707080463</v>
      </c>
      <c r="B94" s="6" t="s">
        <v>151</v>
      </c>
      <c r="C94" s="6" t="s">
        <v>152</v>
      </c>
      <c r="D94" s="6" t="s">
        <v>216</v>
      </c>
      <c r="E94" s="6" t="s">
        <v>342</v>
      </c>
      <c r="F94" s="7" t="s">
        <v>272</v>
      </c>
      <c r="G94" s="10" t="s">
        <v>8</v>
      </c>
      <c r="H94" s="10" t="s">
        <v>9</v>
      </c>
      <c r="I94" s="9">
        <v>10500</v>
      </c>
      <c r="J94" s="9" t="s">
        <v>230</v>
      </c>
      <c r="K94" s="9" t="s">
        <v>233</v>
      </c>
    </row>
    <row r="95" spans="1:11" x14ac:dyDescent="0.25">
      <c r="A95" s="5">
        <v>44701210234</v>
      </c>
      <c r="B95" s="6" t="s">
        <v>82</v>
      </c>
      <c r="C95" s="6" t="s">
        <v>158</v>
      </c>
      <c r="D95" s="6" t="s">
        <v>206</v>
      </c>
      <c r="E95" s="6" t="s">
        <v>346</v>
      </c>
      <c r="F95" s="7" t="s">
        <v>244</v>
      </c>
      <c r="G95" s="10" t="s">
        <v>8</v>
      </c>
      <c r="H95" s="10" t="s">
        <v>9</v>
      </c>
      <c r="I95" s="9">
        <v>9700</v>
      </c>
      <c r="J95" s="9" t="s">
        <v>217</v>
      </c>
      <c r="K95" s="9" t="s">
        <v>234</v>
      </c>
    </row>
    <row r="96" spans="1:11" x14ac:dyDescent="0.25">
      <c r="A96" s="5">
        <v>45309010485</v>
      </c>
      <c r="B96" s="6" t="s">
        <v>167</v>
      </c>
      <c r="C96" s="6" t="s">
        <v>166</v>
      </c>
      <c r="D96" s="6" t="s">
        <v>195</v>
      </c>
      <c r="E96" s="6" t="s">
        <v>353</v>
      </c>
      <c r="F96" s="7" t="s">
        <v>242</v>
      </c>
      <c r="G96" s="10" t="s">
        <v>8</v>
      </c>
      <c r="H96" s="10" t="s">
        <v>9</v>
      </c>
      <c r="I96" s="9">
        <v>11600</v>
      </c>
      <c r="J96" s="9" t="s">
        <v>224</v>
      </c>
      <c r="K96" s="9" t="s">
        <v>233</v>
      </c>
    </row>
    <row r="97" spans="1:11" x14ac:dyDescent="0.25">
      <c r="A97" s="5">
        <v>36001050084</v>
      </c>
      <c r="B97" s="6" t="s">
        <v>168</v>
      </c>
      <c r="C97" s="6" t="s">
        <v>166</v>
      </c>
      <c r="D97" s="6" t="s">
        <v>198</v>
      </c>
      <c r="E97" s="6" t="s">
        <v>354</v>
      </c>
      <c r="F97" s="7" t="s">
        <v>243</v>
      </c>
      <c r="G97" s="10" t="s">
        <v>8</v>
      </c>
      <c r="H97" s="10" t="s">
        <v>9</v>
      </c>
      <c r="I97" s="9">
        <v>11600</v>
      </c>
      <c r="J97" s="9" t="s">
        <v>228</v>
      </c>
      <c r="K97" s="9" t="s">
        <v>233</v>
      </c>
    </row>
    <row r="98" spans="1:11" x14ac:dyDescent="0.25">
      <c r="A98" s="5">
        <v>46504170054</v>
      </c>
      <c r="B98" s="6" t="s">
        <v>180</v>
      </c>
      <c r="C98" s="6" t="s">
        <v>178</v>
      </c>
      <c r="D98" s="6" t="s">
        <v>208</v>
      </c>
      <c r="E98" s="6" t="s">
        <v>358</v>
      </c>
      <c r="F98" s="7" t="s">
        <v>243</v>
      </c>
      <c r="G98" s="10" t="s">
        <v>8</v>
      </c>
      <c r="H98" s="10" t="s">
        <v>9</v>
      </c>
      <c r="I98" s="9">
        <v>8700</v>
      </c>
      <c r="J98" s="9" t="s">
        <v>217</v>
      </c>
      <c r="K98" s="9" t="s">
        <v>233</v>
      </c>
    </row>
    <row r="99" spans="1:11" x14ac:dyDescent="0.25">
      <c r="A99" s="5">
        <v>35412110930</v>
      </c>
      <c r="B99" s="6" t="s">
        <v>181</v>
      </c>
      <c r="C99" s="6" t="s">
        <v>182</v>
      </c>
      <c r="D99" s="6" t="s">
        <v>186</v>
      </c>
      <c r="E99" s="6" t="s">
        <v>359</v>
      </c>
      <c r="F99" s="7" t="s">
        <v>244</v>
      </c>
      <c r="G99" s="10" t="s">
        <v>8</v>
      </c>
      <c r="H99" s="10" t="s">
        <v>9</v>
      </c>
      <c r="I99" s="9">
        <v>8700</v>
      </c>
      <c r="J99" s="9" t="s">
        <v>229</v>
      </c>
      <c r="K99" s="9" t="s">
        <v>234</v>
      </c>
    </row>
    <row r="100" spans="1:11" x14ac:dyDescent="0.25">
      <c r="A100" s="5">
        <v>36604060863</v>
      </c>
      <c r="B100" s="6" t="s">
        <v>60</v>
      </c>
      <c r="C100" s="6" t="s">
        <v>153</v>
      </c>
      <c r="D100" s="6" t="s">
        <v>214</v>
      </c>
      <c r="E100" s="6" t="s">
        <v>343</v>
      </c>
      <c r="F100" s="7" t="s">
        <v>242</v>
      </c>
      <c r="G100" s="10" t="s">
        <v>39</v>
      </c>
      <c r="H100" s="10" t="s">
        <v>154</v>
      </c>
      <c r="I100" s="9">
        <v>6700</v>
      </c>
      <c r="J100" s="9" t="s">
        <v>224</v>
      </c>
      <c r="K100" s="9" t="s">
        <v>235</v>
      </c>
    </row>
  </sheetData>
  <sortState ref="A2:K100">
    <sortCondition ref="H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5"/>
  <sheetViews>
    <sheetView workbookViewId="0"/>
  </sheetViews>
  <sheetFormatPr defaultRowHeight="15" x14ac:dyDescent="0.25"/>
  <cols>
    <col min="2" max="2" width="13.28515625" customWidth="1"/>
    <col min="3" max="3" width="16.85546875" customWidth="1"/>
    <col min="4" max="4" width="10.140625" customWidth="1"/>
    <col min="5" max="5" width="13.140625" customWidth="1"/>
    <col min="7" max="7" width="10.28515625" bestFit="1" customWidth="1"/>
    <col min="8" max="8" width="10.28515625" customWidth="1"/>
    <col min="9" max="9" width="11.5703125" customWidth="1"/>
  </cols>
  <sheetData>
    <row r="2" spans="2:8" ht="15" customHeight="1" x14ac:dyDescent="0.25">
      <c r="B2" s="13" t="s">
        <v>271</v>
      </c>
      <c r="C2" s="13" t="s">
        <v>366</v>
      </c>
      <c r="D2" s="13" t="s">
        <v>258</v>
      </c>
      <c r="E2" s="13" t="s">
        <v>365</v>
      </c>
      <c r="G2" s="19"/>
      <c r="H2" s="19"/>
    </row>
    <row r="3" spans="2:8" ht="15" customHeight="1" x14ac:dyDescent="0.25">
      <c r="B3" s="16" t="s">
        <v>269</v>
      </c>
      <c r="C3" s="18">
        <f ca="1">DATE(YEAR(TODAY()),1,1)</f>
        <v>44927</v>
      </c>
      <c r="D3" s="14" t="s">
        <v>256</v>
      </c>
      <c r="E3" s="17" t="s">
        <v>362</v>
      </c>
      <c r="G3" s="53"/>
      <c r="H3" s="20"/>
    </row>
    <row r="4" spans="2:8" ht="15" customHeight="1" x14ac:dyDescent="0.25">
      <c r="B4" s="16" t="s">
        <v>270</v>
      </c>
      <c r="C4" s="18">
        <f ca="1">DATE(YEAR(TODAY()),1,21)</f>
        <v>44947</v>
      </c>
      <c r="D4" s="14" t="s">
        <v>255</v>
      </c>
      <c r="E4" s="17" t="s">
        <v>363</v>
      </c>
      <c r="G4" s="53"/>
      <c r="H4" s="20"/>
    </row>
    <row r="5" spans="2:8" ht="15" customHeight="1" x14ac:dyDescent="0.25">
      <c r="B5" s="16" t="s">
        <v>259</v>
      </c>
      <c r="C5" s="18">
        <f ca="1">DATE(YEAR(TODAY()),2,19)</f>
        <v>44976</v>
      </c>
      <c r="D5" s="14" t="s">
        <v>249</v>
      </c>
      <c r="E5" s="17" t="s">
        <v>364</v>
      </c>
      <c r="G5" s="53"/>
      <c r="H5" s="20"/>
    </row>
    <row r="6" spans="2:8" ht="15" customHeight="1" x14ac:dyDescent="0.25">
      <c r="B6" s="16" t="s">
        <v>260</v>
      </c>
      <c r="C6" s="18">
        <f ca="1">DATE(YEAR(TODAY()),3,21)</f>
        <v>45006</v>
      </c>
      <c r="D6" s="14" t="s">
        <v>246</v>
      </c>
      <c r="E6" s="17" t="s">
        <v>361</v>
      </c>
      <c r="G6" s="53"/>
      <c r="H6" s="20"/>
    </row>
    <row r="7" spans="2:8" ht="15" customHeight="1" x14ac:dyDescent="0.25">
      <c r="B7" s="16" t="s">
        <v>261</v>
      </c>
      <c r="C7" s="18">
        <f ca="1">DATE(YEAR(TODAY()),4,21)</f>
        <v>45037</v>
      </c>
      <c r="D7" s="14" t="s">
        <v>247</v>
      </c>
      <c r="E7" s="17" t="s">
        <v>362</v>
      </c>
      <c r="G7" s="53"/>
      <c r="H7" s="20"/>
    </row>
    <row r="8" spans="2:8" ht="15" customHeight="1" x14ac:dyDescent="0.25">
      <c r="B8" s="16" t="s">
        <v>262</v>
      </c>
      <c r="C8" s="18">
        <f ca="1">DATE(YEAR(TODAY()),5,22)</f>
        <v>45068</v>
      </c>
      <c r="D8" s="14" t="s">
        <v>248</v>
      </c>
      <c r="E8" s="17" t="s">
        <v>363</v>
      </c>
      <c r="G8" s="53"/>
      <c r="H8" s="20"/>
    </row>
    <row r="9" spans="2:8" ht="15" customHeight="1" x14ac:dyDescent="0.25">
      <c r="B9" s="16" t="s">
        <v>263</v>
      </c>
      <c r="C9" s="18">
        <f ca="1">DATE(YEAR(TODAY()),6,22)</f>
        <v>45099</v>
      </c>
      <c r="D9" s="14" t="s">
        <v>250</v>
      </c>
      <c r="E9" s="17" t="s">
        <v>364</v>
      </c>
      <c r="G9" s="53"/>
      <c r="H9" s="20"/>
    </row>
    <row r="10" spans="2:8" ht="15" customHeight="1" x14ac:dyDescent="0.25">
      <c r="B10" s="16" t="s">
        <v>264</v>
      </c>
      <c r="C10" s="18">
        <f ca="1">DATE(YEAR(TODAY()),7,23)</f>
        <v>45130</v>
      </c>
      <c r="D10" s="14" t="s">
        <v>251</v>
      </c>
      <c r="E10" s="17" t="s">
        <v>361</v>
      </c>
      <c r="G10" s="53"/>
      <c r="H10" s="20"/>
    </row>
    <row r="11" spans="2:8" ht="15" customHeight="1" x14ac:dyDescent="0.25">
      <c r="B11" s="16" t="s">
        <v>265</v>
      </c>
      <c r="C11" s="18">
        <f ca="1">DATE(YEAR(TODAY()),8,24)</f>
        <v>45162</v>
      </c>
      <c r="D11" s="14" t="s">
        <v>252</v>
      </c>
      <c r="E11" s="17" t="s">
        <v>362</v>
      </c>
      <c r="G11" s="53"/>
      <c r="H11" s="20"/>
    </row>
    <row r="12" spans="2:8" ht="15" customHeight="1" x14ac:dyDescent="0.25">
      <c r="B12" s="16" t="s">
        <v>266</v>
      </c>
      <c r="C12" s="18">
        <f ca="1">DATE(YEAR(TODAY()),9,24)</f>
        <v>45193</v>
      </c>
      <c r="D12" s="14" t="s">
        <v>253</v>
      </c>
      <c r="E12" s="17" t="s">
        <v>363</v>
      </c>
      <c r="G12" s="53"/>
      <c r="H12" s="20"/>
    </row>
    <row r="13" spans="2:8" ht="15" customHeight="1" x14ac:dyDescent="0.25">
      <c r="B13" s="16" t="s">
        <v>267</v>
      </c>
      <c r="C13" s="18">
        <f ca="1">DATE(YEAR(TODAY()),10,24)</f>
        <v>45223</v>
      </c>
      <c r="D13" s="14" t="s">
        <v>257</v>
      </c>
      <c r="E13" s="17" t="s">
        <v>364</v>
      </c>
      <c r="G13" s="53"/>
      <c r="H13" s="20"/>
    </row>
    <row r="14" spans="2:8" ht="15" customHeight="1" x14ac:dyDescent="0.25">
      <c r="B14" s="16" t="s">
        <v>268</v>
      </c>
      <c r="C14" s="18">
        <f ca="1">DATE(YEAR(TODAY()),11,23)</f>
        <v>45253</v>
      </c>
      <c r="D14" s="14" t="s">
        <v>254</v>
      </c>
      <c r="E14" s="17" t="s">
        <v>361</v>
      </c>
      <c r="G14" s="53"/>
      <c r="H14" s="20"/>
    </row>
    <row r="15" spans="2:8" x14ac:dyDescent="0.25">
      <c r="B15" s="16" t="s">
        <v>269</v>
      </c>
      <c r="C15" s="18">
        <f ca="1">DATE(YEAR(TODAY()),12,22)</f>
        <v>45282</v>
      </c>
      <c r="D15" s="14" t="s">
        <v>256</v>
      </c>
      <c r="E15" s="17" t="s">
        <v>362</v>
      </c>
      <c r="G15" s="53"/>
      <c r="H15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4</vt:i4>
      </vt:variant>
    </vt:vector>
  </HeadingPairs>
  <TitlesOfParts>
    <vt:vector size="4" baseType="lpstr">
      <vt:lpstr>Ülesanne </vt:lpstr>
      <vt:lpstr>Variandid </vt:lpstr>
      <vt:lpstr>Töötajad</vt:lpstr>
      <vt:lpstr>Lisa</vt:lpstr>
    </vt:vector>
  </TitlesOfParts>
  <Company>Tallinn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Mironova</dc:creator>
  <cp:lastModifiedBy>Opilane TTHK</cp:lastModifiedBy>
  <cp:lastPrinted>2009-10-26T16:03:20Z</cp:lastPrinted>
  <dcterms:created xsi:type="dcterms:W3CDTF">2009-10-13T09:29:09Z</dcterms:created>
  <dcterms:modified xsi:type="dcterms:W3CDTF">2023-09-18T15:05:13Z</dcterms:modified>
</cp:coreProperties>
</file>