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7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i\Desktop\Kool\Kontoritarkvara automatiseerimine\"/>
    </mc:Choice>
  </mc:AlternateContent>
  <xr:revisionPtr revIDLastSave="0" documentId="13_ncr:1_{89D4A2C3-BB91-48B4-971E-9E5A69360DCF}" xr6:coauthVersionLast="47" xr6:coauthVersionMax="47" xr10:uidLastSave="{00000000-0000-0000-0000-000000000000}"/>
  <bookViews>
    <workbookView xWindow="-108" yWindow="-108" windowWidth="23256" windowHeight="12456" tabRatio="860" activeTab="3" xr2:uid="{00000000-000D-0000-FFFF-FFFF00000000}"/>
  </bookViews>
  <sheets>
    <sheet name="Ülesanne" sheetId="11" r:id="rId1"/>
    <sheet name="Y_1" sheetId="5" r:id="rId2"/>
    <sheet name="Y_2" sheetId="1" r:id="rId3"/>
    <sheet name="Y_3" sheetId="3" r:id="rId4"/>
    <sheet name="Y_4" sheetId="2" r:id="rId5"/>
    <sheet name="Lisad" sheetId="6" r:id="rId6"/>
    <sheet name="VBA_üld " sheetId="7" r:id="rId7"/>
    <sheet name="VBA_red" sheetId="8" r:id="rId8"/>
    <sheet name="VBA_Inter" sheetId="9" r:id="rId9"/>
    <sheet name="Laused" sheetId="10" r:id="rId10"/>
  </sheets>
  <functionGroups builtInGroupCount="19"/>
  <externalReferences>
    <externalReference r:id="rId11"/>
    <externalReference r:id="rId12"/>
  </externalReferences>
  <definedNames>
    <definedName name="max">'[1]Arva Arv'!$B$20</definedName>
    <definedName name="n" localSheetId="1">[2]Y_2!$H$7</definedName>
    <definedName name="n">Y_2!$H$7</definedName>
    <definedName name="Protsent">Y_1!$G$3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21" i="3"/>
  <c r="E17" i="3"/>
  <c r="E20" i="3"/>
  <c r="E10" i="3"/>
  <c r="E22" i="3"/>
  <c r="E11" i="3"/>
  <c r="E23" i="3"/>
  <c r="E18" i="3"/>
  <c r="E12" i="3"/>
  <c r="E24" i="3"/>
  <c r="E16" i="3"/>
  <c r="E19" i="3"/>
  <c r="E13" i="3"/>
  <c r="E14" i="3"/>
  <c r="E15" i="3"/>
  <c r="E8" i="3"/>
  <c r="E7" i="5"/>
  <c r="E8" i="5"/>
  <c r="E10" i="5"/>
  <c r="E11" i="5"/>
  <c r="E12" i="5"/>
  <c r="E15" i="5"/>
  <c r="E17" i="5"/>
  <c r="E9" i="5"/>
  <c r="E13" i="5"/>
  <c r="E14" i="5"/>
  <c r="E16" i="5"/>
  <c r="D8" i="5"/>
  <c r="D10" i="5"/>
  <c r="D11" i="5"/>
  <c r="D12" i="5"/>
  <c r="D14" i="5"/>
  <c r="D15" i="5"/>
  <c r="D17" i="5"/>
  <c r="D16" i="5"/>
  <c r="D13" i="5"/>
  <c r="D9" i="5"/>
  <c r="D7" i="5"/>
  <c r="E9" i="1"/>
  <c r="E19" i="1"/>
  <c r="D23" i="2"/>
  <c r="E14" i="1"/>
  <c r="D18" i="2"/>
  <c r="D25" i="2"/>
  <c r="D27" i="2"/>
  <c r="D16" i="2"/>
  <c r="D21" i="2"/>
  <c r="E15" i="1"/>
  <c r="D17" i="2"/>
  <c r="E21" i="1"/>
  <c r="E7" i="1"/>
  <c r="D20" i="2"/>
  <c r="E10" i="1"/>
  <c r="D22" i="2"/>
  <c r="D12" i="2"/>
  <c r="E18" i="1"/>
  <c r="E16" i="1"/>
  <c r="D24" i="2"/>
  <c r="D14" i="2"/>
  <c r="E11" i="1"/>
  <c r="D26" i="2"/>
  <c r="E17" i="1"/>
  <c r="D11" i="2"/>
  <c r="D13" i="2"/>
  <c r="E8" i="1"/>
  <c r="E13" i="1"/>
  <c r="E20" i="1"/>
  <c r="D15" i="2"/>
  <c r="E12" i="1"/>
  <c r="D19" i="2"/>
  <c r="F20" i="1"/>
  <c r="F19" i="1"/>
  <c r="F13" i="1"/>
  <c r="F9" i="1"/>
  <c r="F8" i="1"/>
  <c r="F11" i="1"/>
  <c r="F16" i="1"/>
  <c r="F18" i="1"/>
  <c r="F10" i="1"/>
  <c r="F7" i="1"/>
  <c r="F21" i="1"/>
  <c r="F12" i="1"/>
  <c r="F14" i="1"/>
  <c r="F17" i="1"/>
  <c r="F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6" authorId="0" shapeId="0" xr:uid="{00000000-0006-0000-0200-000001000000}">
      <text>
        <r>
          <rPr>
            <sz val="9"/>
            <color indexed="81"/>
            <rFont val="Tahoma"/>
            <family val="2"/>
            <charset val="186"/>
          </rPr>
          <t>valiku võimalus: 10%, 12%, 15%.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</author>
    <author>Jaak Henno</author>
  </authors>
  <commentList>
    <comment ref="B5" authorId="0" shapeId="0" xr:uid="{00000000-0006-0000-0600-000001000000}">
      <text>
        <r>
          <rPr>
            <sz val="12"/>
            <color indexed="62"/>
            <rFont val="Tahoma"/>
            <family val="2"/>
            <charset val="186"/>
          </rPr>
          <t>Sub</t>
        </r>
        <r>
          <rPr>
            <sz val="12"/>
            <color indexed="81"/>
            <rFont val="Tahoma"/>
            <family val="2"/>
            <charset val="186"/>
          </rPr>
          <t xml:space="preserve"> kysimus()
    paev = Cdate(InputBox("Sisestage tänane kuupäev"))
    </t>
        </r>
        <r>
          <rPr>
            <sz val="12"/>
            <color indexed="62"/>
            <rFont val="Tahoma"/>
            <family val="2"/>
            <charset val="186"/>
          </rPr>
          <t>If</t>
        </r>
        <r>
          <rPr>
            <sz val="12"/>
            <color indexed="81"/>
            <rFont val="Tahoma"/>
            <family val="2"/>
            <charset val="186"/>
          </rPr>
          <t xml:space="preserve"> paev = Date </t>
        </r>
        <r>
          <rPr>
            <sz val="12"/>
            <color indexed="62"/>
            <rFont val="Tahoma"/>
            <family val="2"/>
            <charset val="186"/>
          </rPr>
          <t>Then</t>
        </r>
        <r>
          <rPr>
            <sz val="12"/>
            <color indexed="81"/>
            <rFont val="Tahoma"/>
            <family val="2"/>
            <charset val="186"/>
          </rPr>
          <t xml:space="preserve"> teade = "Õige!" Else teade = "Vale!"
    MsgBox teade
</t>
        </r>
        <r>
          <rPr>
            <sz val="12"/>
            <color indexed="62"/>
            <rFont val="Tahoma"/>
            <family val="2"/>
            <charset val="186"/>
          </rPr>
          <t>End</t>
        </r>
        <r>
          <rPr>
            <sz val="12"/>
            <color indexed="81"/>
            <rFont val="Tahoma"/>
            <family val="2"/>
            <charset val="186"/>
          </rPr>
          <t xml:space="preserve"> Sub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C36" authorId="1" shapeId="0" xr:uid="{00000000-0006-0000-0600-000002000000}">
      <text>
        <r>
          <rPr>
            <b/>
            <sz val="12"/>
            <color indexed="81"/>
            <rFont val="Tahoma"/>
            <family val="2"/>
            <charset val="186"/>
          </rPr>
          <t>Lausete põhielemendid:</t>
        </r>
        <r>
          <rPr>
            <sz val="12"/>
            <color indexed="81"/>
            <rFont val="Tahoma"/>
            <family val="2"/>
            <charset val="186"/>
          </rPr>
          <t xml:space="preserve"> 
   </t>
        </r>
        <r>
          <rPr>
            <b/>
            <sz val="12"/>
            <color indexed="81"/>
            <rFont val="Tahoma"/>
            <family val="2"/>
            <charset val="186"/>
          </rPr>
          <t>võtmesõnad</t>
        </r>
        <r>
          <rPr>
            <sz val="12"/>
            <color indexed="81"/>
            <rFont val="Tahoma"/>
            <family val="2"/>
            <charset val="186"/>
          </rPr>
          <t xml:space="preserve"> - </t>
        </r>
        <r>
          <rPr>
            <b/>
            <sz val="12"/>
            <color indexed="12"/>
            <rFont val="Arial"/>
            <family val="2"/>
            <charset val="186"/>
          </rPr>
          <t>Sub, Dim, IF,</t>
        </r>
        <r>
          <rPr>
            <b/>
            <sz val="12"/>
            <color indexed="81"/>
            <rFont val="Arial"/>
            <family val="2"/>
            <charset val="186"/>
          </rPr>
          <t xml:space="preserve"> ...</t>
        </r>
        <r>
          <rPr>
            <sz val="12"/>
            <color indexed="81"/>
            <rFont val="Tahoma"/>
            <family val="2"/>
            <charset val="186"/>
          </rPr>
          <t xml:space="preserve"> 
   </t>
        </r>
        <r>
          <rPr>
            <b/>
            <sz val="12"/>
            <color indexed="81"/>
            <rFont val="Tahoma"/>
            <family val="2"/>
            <charset val="186"/>
          </rPr>
          <t xml:space="preserve">nimed </t>
        </r>
        <r>
          <rPr>
            <sz val="12"/>
            <color indexed="81"/>
            <rFont val="Tahoma"/>
            <family val="2"/>
            <charset val="186"/>
          </rPr>
          <t xml:space="preserve">- </t>
        </r>
        <r>
          <rPr>
            <b/>
            <sz val="12"/>
            <color indexed="81"/>
            <rFont val="Arial"/>
            <family val="2"/>
            <charset val="186"/>
          </rPr>
          <t>a, b, Tasu_1, ...</t>
        </r>
        <r>
          <rPr>
            <sz val="12"/>
            <color indexed="81"/>
            <rFont val="Tahoma"/>
            <family val="2"/>
            <charset val="186"/>
          </rPr>
          <t xml:space="preserve">
  </t>
        </r>
        <r>
          <rPr>
            <b/>
            <sz val="12"/>
            <color indexed="81"/>
            <rFont val="Tahoma"/>
            <family val="2"/>
            <charset val="186"/>
          </rPr>
          <t xml:space="preserve"> avaldised </t>
        </r>
        <r>
          <rPr>
            <sz val="12"/>
            <color indexed="81"/>
            <rFont val="Tahoma"/>
            <family val="2"/>
            <charset val="186"/>
          </rPr>
          <t xml:space="preserve">- </t>
        </r>
        <r>
          <rPr>
            <b/>
            <sz val="12"/>
            <color indexed="81"/>
            <rFont val="Tahoma"/>
            <family val="2"/>
            <charset val="186"/>
          </rPr>
          <t>b*b - 4*a*c</t>
        </r>
        <r>
          <rPr>
            <sz val="12"/>
            <color indexed="81"/>
            <rFont val="Tahoma"/>
            <family val="2"/>
            <charset val="186"/>
          </rPr>
          <t xml:space="preserve">, </t>
        </r>
        <r>
          <rPr>
            <b/>
            <sz val="12"/>
            <color indexed="81"/>
            <rFont val="Tahoma"/>
            <family val="2"/>
            <charset val="186"/>
          </rPr>
          <t>raha &gt;= hind</t>
        </r>
        <r>
          <rPr>
            <sz val="12"/>
            <color indexed="81"/>
            <rFont val="Tahoma"/>
            <family val="2"/>
            <charset val="186"/>
          </rPr>
          <t xml:space="preserve">,  
   </t>
        </r>
        <r>
          <rPr>
            <b/>
            <sz val="12"/>
            <color indexed="81"/>
            <rFont val="Tahoma"/>
            <family val="2"/>
            <charset val="186"/>
          </rPr>
          <t xml:space="preserve">eraldajad </t>
        </r>
        <r>
          <rPr>
            <sz val="12"/>
            <color indexed="81"/>
            <rFont val="Tahoma"/>
            <family val="2"/>
            <charset val="186"/>
          </rPr>
          <t xml:space="preserve">- </t>
        </r>
        <r>
          <rPr>
            <b/>
            <sz val="14"/>
            <color indexed="81"/>
            <rFont val="Arial Black"/>
            <family val="2"/>
            <charset val="186"/>
          </rPr>
          <t>,</t>
        </r>
        <r>
          <rPr>
            <sz val="12"/>
            <color indexed="81"/>
            <rFont val="Tahoma"/>
            <family val="2"/>
            <charset val="186"/>
          </rPr>
          <t xml:space="preserve"> (koma) </t>
        </r>
        <r>
          <rPr>
            <sz val="12"/>
            <color indexed="81"/>
            <rFont val="Arial Black"/>
            <family val="2"/>
            <charset val="186"/>
          </rPr>
          <t xml:space="preserve"> </t>
        </r>
        <r>
          <rPr>
            <b/>
            <sz val="12"/>
            <color indexed="81"/>
            <rFont val="Arial Black"/>
            <family val="2"/>
            <charset val="186"/>
          </rPr>
          <t>:</t>
        </r>
        <r>
          <rPr>
            <sz val="12"/>
            <color indexed="81"/>
            <rFont val="Tahoma"/>
            <family val="2"/>
            <charset val="186"/>
          </rPr>
          <t xml:space="preserve"> (koolon) 
</t>
        </r>
      </text>
    </comment>
  </commentList>
</comments>
</file>

<file path=xl/sharedStrings.xml><?xml version="1.0" encoding="utf-8"?>
<sst xmlns="http://schemas.openxmlformats.org/spreadsheetml/2006/main" count="249" uniqueCount="190">
  <si>
    <t>Ees- ja Perenimi</t>
  </si>
  <si>
    <t>Põhipalk</t>
  </si>
  <si>
    <t>Preemia</t>
  </si>
  <si>
    <t>Palk</t>
  </si>
  <si>
    <t>n</t>
  </si>
  <si>
    <t>Alan Pent</t>
  </si>
  <si>
    <t>Anton Smirnov</t>
  </si>
  <si>
    <t>Rasmus Pruul</t>
  </si>
  <si>
    <t>Ivo Värk</t>
  </si>
  <si>
    <t>Aivar Jakobson</t>
  </si>
  <si>
    <t>Aivar Teearu</t>
  </si>
  <si>
    <t>Mart Kivi</t>
  </si>
  <si>
    <t>Mart Metsjõe</t>
  </si>
  <si>
    <t>Dmitri Käsper</t>
  </si>
  <si>
    <t>Tiina Amos</t>
  </si>
  <si>
    <t>Alari Kaljo</t>
  </si>
  <si>
    <t>Tiiu Tamm</t>
  </si>
  <si>
    <t xml:space="preserve">Janari Kaljo </t>
  </si>
  <si>
    <t>Sander Soosaar</t>
  </si>
  <si>
    <t>Annika Männik</t>
  </si>
  <si>
    <t>Punktid</t>
  </si>
  <si>
    <t>Hinne</t>
  </si>
  <si>
    <t>0-49p.</t>
  </si>
  <si>
    <t>50-59p.</t>
  </si>
  <si>
    <t>60-69p.</t>
  </si>
  <si>
    <t>70-79p.</t>
  </si>
  <si>
    <t>Ees- ja peremini</t>
  </si>
  <si>
    <t>Punktide arv</t>
  </si>
  <si>
    <t>80-89p.</t>
  </si>
  <si>
    <t>90-100p</t>
  </si>
  <si>
    <t>Andei Kedrov</t>
  </si>
  <si>
    <t>Kert Jürgenson</t>
  </si>
  <si>
    <t>Pikkus</t>
  </si>
  <si>
    <t>Kaal</t>
  </si>
  <si>
    <t>Hinnanng</t>
  </si>
  <si>
    <t>Kartuli-singisalat</t>
  </si>
  <si>
    <t>Sünnipäevasalat</t>
  </si>
  <si>
    <t>Vitamiinisalat</t>
  </si>
  <si>
    <t>Vinegrett</t>
  </si>
  <si>
    <t>Puuviljasalat</t>
  </si>
  <si>
    <t>Oa-singisalat</t>
  </si>
  <si>
    <t>Kasukas</t>
  </si>
  <si>
    <t>Krabimaitseline riisisalat</t>
  </si>
  <si>
    <t>Kreeka salat</t>
  </si>
  <si>
    <t>Caesari salat</t>
  </si>
  <si>
    <t>Krevetisalat</t>
  </si>
  <si>
    <t>Salatid</t>
  </si>
  <si>
    <t>Hind käibemaksuta</t>
  </si>
  <si>
    <t>kg</t>
  </si>
  <si>
    <t xml:space="preserve">Hind käibemaksuga </t>
  </si>
  <si>
    <t>Käibemaks</t>
  </si>
  <si>
    <t>Ühik</t>
  </si>
  <si>
    <t>Protsent</t>
  </si>
  <si>
    <t>Preemia määrang</t>
  </si>
  <si>
    <t>Tulemused võrdluseks:</t>
  </si>
  <si>
    <t>Lisad</t>
  </si>
  <si>
    <t>VBA tööpõhimõte  ja töökeskkond</t>
  </si>
  <si>
    <r>
      <t>Ülesande lahendamiseks koostatakse</t>
    </r>
    <r>
      <rPr>
        <b/>
        <sz val="12"/>
        <color indexed="12"/>
        <rFont val="Arial"/>
        <family val="2"/>
      </rPr>
      <t xml:space="preserve"> programm</t>
    </r>
  </si>
  <si>
    <r>
      <t>VBA programm</t>
    </r>
    <r>
      <rPr>
        <b/>
        <sz val="12"/>
        <rFont val="Arial"/>
        <family val="2"/>
        <charset val="186"/>
      </rPr>
      <t xml:space="preserve"> </t>
    </r>
    <r>
      <rPr>
        <sz val="12"/>
        <rFont val="Arial"/>
        <family val="2"/>
        <charset val="186"/>
      </rPr>
      <t xml:space="preserve">võimaldab määrata tegevusi </t>
    </r>
    <r>
      <rPr>
        <b/>
        <sz val="12"/>
        <color indexed="12"/>
        <rFont val="Arial"/>
        <family val="2"/>
        <charset val="186"/>
      </rPr>
      <t>andmetega</t>
    </r>
    <r>
      <rPr>
        <sz val="12"/>
        <rFont val="Arial"/>
        <family val="2"/>
        <charset val="186"/>
      </rPr>
      <t xml:space="preserve"> ja  Exceli </t>
    </r>
    <r>
      <rPr>
        <b/>
        <sz val="12"/>
        <color indexed="12"/>
        <rFont val="Arial"/>
        <family val="2"/>
        <charset val="186"/>
      </rPr>
      <t>objektidega</t>
    </r>
    <r>
      <rPr>
        <sz val="12"/>
        <rFont val="Arial"/>
        <family val="2"/>
        <charset val="186"/>
      </rPr>
      <t xml:space="preserve">  keeles Visual Basic ettenähtud </t>
    </r>
    <r>
      <rPr>
        <b/>
        <sz val="12"/>
        <color indexed="10"/>
        <rFont val="Arial"/>
        <family val="2"/>
        <charset val="186"/>
      </rPr>
      <t>lausete</t>
    </r>
    <r>
      <rPr>
        <sz val="12"/>
        <rFont val="Arial"/>
        <family val="2"/>
        <charset val="186"/>
      </rPr>
      <t xml:space="preserve"> abil. </t>
    </r>
  </si>
  <si>
    <r>
      <t>Andmed</t>
    </r>
    <r>
      <rPr>
        <sz val="12"/>
        <rFont val="Arial"/>
        <family val="2"/>
        <charset val="186"/>
      </rPr>
      <t xml:space="preserve"> - lihtsamal juhul </t>
    </r>
    <r>
      <rPr>
        <b/>
        <sz val="12"/>
        <rFont val="Arial"/>
        <family val="2"/>
        <charset val="186"/>
      </rPr>
      <t>skalaarandmed</t>
    </r>
    <r>
      <rPr>
        <sz val="12"/>
        <rFont val="Arial"/>
        <family val="2"/>
        <charset val="186"/>
      </rPr>
      <t xml:space="preserve">: </t>
    </r>
    <r>
      <rPr>
        <b/>
        <sz val="12"/>
        <color indexed="12"/>
        <rFont val="Arial"/>
        <family val="2"/>
        <charset val="186"/>
      </rPr>
      <t>konstandid</t>
    </r>
    <r>
      <rPr>
        <sz val="12"/>
        <rFont val="Arial"/>
        <family val="2"/>
        <charset val="186"/>
      </rPr>
      <t xml:space="preserve"> ja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muutujad</t>
    </r>
    <r>
      <rPr>
        <sz val="12"/>
        <rFont val="Arial"/>
        <family val="2"/>
        <charset val="186"/>
      </rPr>
      <t xml:space="preserve">.
</t>
    </r>
    <r>
      <rPr>
        <b/>
        <sz val="12"/>
        <color indexed="12"/>
        <rFont val="Arial"/>
        <family val="2"/>
        <charset val="186"/>
      </rPr>
      <t>Exceli objekid</t>
    </r>
    <r>
      <rPr>
        <sz val="12"/>
        <rFont val="Arial"/>
        <family val="2"/>
        <charset val="186"/>
      </rPr>
      <t xml:space="preserve"> - töölehed, lahtriplokid, kujundid jm. </t>
    </r>
  </si>
  <si>
    <r>
      <t xml:space="preserve">Selleks, et olla andmetest võimalikult sõltumatu, kasutab programm
 kasutaja poolt antud </t>
    </r>
    <r>
      <rPr>
        <b/>
        <shadow/>
        <sz val="12"/>
        <color indexed="12"/>
        <rFont val="Tahoma"/>
        <family val="2"/>
      </rPr>
      <t>sisend-(alg)andmeid</t>
    </r>
    <r>
      <rPr>
        <shadow/>
        <sz val="12"/>
        <rFont val="Tahoma"/>
        <family val="2"/>
      </rPr>
      <t xml:space="preserve"> ja väljastab </t>
    </r>
    <r>
      <rPr>
        <b/>
        <shadow/>
        <sz val="12"/>
        <color indexed="12"/>
        <rFont val="Tahoma"/>
        <family val="2"/>
      </rPr>
      <t>tulemusi</t>
    </r>
    <r>
      <rPr>
        <shadow/>
        <sz val="12"/>
        <rFont val="Tahoma"/>
        <family val="2"/>
      </rPr>
      <t xml:space="preserve">. </t>
    </r>
  </si>
  <si>
    <r>
      <t xml:space="preserve">Lause </t>
    </r>
    <r>
      <rPr>
        <sz val="12"/>
        <rFont val="Arial"/>
        <family val="2"/>
        <charset val="186"/>
      </rPr>
      <t xml:space="preserve">- kindla tähendusega ja struktuuriga </t>
    </r>
    <r>
      <rPr>
        <b/>
        <sz val="12"/>
        <rFont val="Arial"/>
        <family val="2"/>
        <charset val="186"/>
      </rPr>
      <t>korraldus</t>
    </r>
    <r>
      <rPr>
        <sz val="12"/>
        <rFont val="Arial"/>
        <family val="2"/>
        <charset val="186"/>
      </rPr>
      <t xml:space="preserve">, mis üheselt määrab arvuti poolt täidetavad tegevused. </t>
    </r>
  </si>
  <si>
    <r>
      <t xml:space="preserve">Programm võib koosneda mitmest üksusest - </t>
    </r>
    <r>
      <rPr>
        <b/>
        <sz val="12"/>
        <rFont val="Arial"/>
        <family val="2"/>
        <charset val="186"/>
      </rPr>
      <t>protseduurist</t>
    </r>
    <r>
      <rPr>
        <sz val="12"/>
        <rFont val="Arial"/>
        <family val="2"/>
        <charset val="186"/>
      </rPr>
      <t>.</t>
    </r>
  </si>
  <si>
    <r>
      <t xml:space="preserve">Protseduurid salvestatakse </t>
    </r>
    <r>
      <rPr>
        <b/>
        <sz val="12"/>
        <rFont val="Arial"/>
        <family val="2"/>
        <charset val="186"/>
      </rPr>
      <t>Visual Basic'u redaktori</t>
    </r>
    <r>
      <rPr>
        <sz val="12"/>
        <rFont val="Arial"/>
        <family val="2"/>
        <charset val="186"/>
      </rPr>
      <t xml:space="preserve"> abil </t>
    </r>
    <r>
      <rPr>
        <b/>
        <sz val="12"/>
        <rFont val="Arial"/>
        <family val="2"/>
        <charset val="186"/>
      </rPr>
      <t>moodulilehtedele</t>
    </r>
    <r>
      <rPr>
        <sz val="12"/>
        <rFont val="Arial"/>
        <family val="2"/>
        <charset val="186"/>
      </rPr>
      <t xml:space="preserve">, mis asuvad töövihiku eraldi osas - </t>
    </r>
    <r>
      <rPr>
        <b/>
        <sz val="12"/>
        <rFont val="Arial"/>
        <family val="2"/>
        <charset val="186"/>
      </rPr>
      <t>VBA projekt</t>
    </r>
    <r>
      <rPr>
        <sz val="12"/>
        <rFont val="Arial"/>
        <family val="2"/>
        <charset val="186"/>
      </rPr>
      <t xml:space="preserve">. </t>
    </r>
  </si>
  <si>
    <t>Käivituvad vastavate korralduste alusel või automaatselt.</t>
  </si>
  <si>
    <r>
      <t>Protseduur koosneb</t>
    </r>
    <r>
      <rPr>
        <b/>
        <sz val="12"/>
        <color indexed="12"/>
        <rFont val="Arial"/>
        <family val="2"/>
      </rPr>
      <t xml:space="preserve"> lausete</t>
    </r>
    <r>
      <rPr>
        <sz val="12"/>
        <rFont val="Arial"/>
        <family val="2"/>
      </rPr>
      <t xml:space="preserve"> (korralduste) jadast</t>
    </r>
  </si>
  <si>
    <r>
      <t xml:space="preserve">Vastava käsu saamisel, täidab </t>
    </r>
    <r>
      <rPr>
        <b/>
        <sz val="12"/>
        <rFont val="Arial"/>
        <family val="2"/>
      </rPr>
      <t>VBA</t>
    </r>
    <r>
      <rPr>
        <sz val="12"/>
        <rFont val="Arial"/>
        <family val="2"/>
      </rPr>
      <t xml:space="preserve"> protseduuri lausetega määratud tegevused</t>
    </r>
  </si>
  <si>
    <r>
      <t xml:space="preserve">Täitmise ajaks eraldab VBA protseduurile mälus </t>
    </r>
    <r>
      <rPr>
        <b/>
        <sz val="12"/>
        <color indexed="12"/>
        <rFont val="Arial"/>
        <family val="2"/>
      </rPr>
      <t xml:space="preserve">pesad </t>
    </r>
    <r>
      <rPr>
        <sz val="12"/>
        <rFont val="Arial"/>
        <family val="2"/>
      </rPr>
      <t>(väljad),</t>
    </r>
  </si>
  <si>
    <t>kuhu see saab salvestada tema töös kasutatavate andmete väärtused</t>
  </si>
  <si>
    <t xml:space="preserve">Protseduuri struktuur: </t>
  </si>
  <si>
    <t xml:space="preserve">Protseduuri alguslause </t>
  </si>
  <si>
    <t xml:space="preserve">Kirjelduslaused </t>
  </si>
  <si>
    <t xml:space="preserve">Tegevuslaused </t>
  </si>
  <si>
    <r>
      <t>Lõpulause</t>
    </r>
    <r>
      <rPr>
        <b/>
        <sz val="12"/>
        <color indexed="8"/>
        <rFont val="Arial"/>
        <family val="2"/>
        <charset val="204"/>
      </rPr>
      <t xml:space="preserve"> </t>
    </r>
  </si>
  <si>
    <t>Alamprogramm</t>
  </si>
  <si>
    <r>
      <t xml:space="preserve">Sub </t>
    </r>
    <r>
      <rPr>
        <b/>
        <i/>
        <sz val="12"/>
        <color indexed="62"/>
        <rFont val="Arial"/>
        <family val="2"/>
      </rPr>
      <t>nimi</t>
    </r>
    <r>
      <rPr>
        <b/>
        <sz val="12"/>
        <color indexed="8"/>
        <rFont val="Arial"/>
        <family val="2"/>
      </rPr>
      <t xml:space="preserve"> [(</t>
    </r>
    <r>
      <rPr>
        <b/>
        <i/>
        <sz val="12"/>
        <color indexed="62"/>
        <rFont val="Arial"/>
        <family val="2"/>
      </rPr>
      <t>parameetrite loetelu</t>
    </r>
    <r>
      <rPr>
        <b/>
        <sz val="12"/>
        <color indexed="8"/>
        <rFont val="Arial"/>
        <family val="2"/>
      </rPr>
      <t xml:space="preserve">)] </t>
    </r>
  </si>
  <si>
    <t>laused ja kommentaarid</t>
  </si>
  <si>
    <t>End Sub</t>
  </si>
  <si>
    <t xml:space="preserve">Funktsioon </t>
  </si>
  <si>
    <r>
      <t xml:space="preserve">Function </t>
    </r>
    <r>
      <rPr>
        <b/>
        <i/>
        <sz val="12"/>
        <color indexed="62"/>
        <rFont val="Arial"/>
        <family val="2"/>
      </rPr>
      <t>nimi</t>
    </r>
    <r>
      <rPr>
        <b/>
        <sz val="12"/>
        <color indexed="8"/>
        <rFont val="Arial"/>
        <family val="2"/>
      </rPr>
      <t xml:space="preserve"> [(</t>
    </r>
    <r>
      <rPr>
        <b/>
        <i/>
        <sz val="12"/>
        <color indexed="62"/>
        <rFont val="Arial"/>
        <family val="2"/>
      </rPr>
      <t>parameetrite loetelu</t>
    </r>
    <r>
      <rPr>
        <b/>
        <sz val="12"/>
        <color indexed="8"/>
        <rFont val="Arial"/>
        <family val="2"/>
      </rPr>
      <t xml:space="preserve">)] [As </t>
    </r>
    <r>
      <rPr>
        <b/>
        <i/>
        <sz val="12"/>
        <color indexed="62"/>
        <rFont val="Arial"/>
        <family val="2"/>
      </rPr>
      <t>tüüp</t>
    </r>
    <r>
      <rPr>
        <b/>
        <sz val="12"/>
        <color indexed="8"/>
        <rFont val="Arial"/>
        <family val="2"/>
      </rPr>
      <t xml:space="preserve">] </t>
    </r>
  </si>
  <si>
    <t xml:space="preserve">End Function </t>
  </si>
  <si>
    <r>
      <t xml:space="preserve">Ühel </t>
    </r>
    <r>
      <rPr>
        <b/>
        <sz val="12"/>
        <rFont val="Arial"/>
        <family val="2"/>
        <charset val="186"/>
      </rPr>
      <t>real</t>
    </r>
    <r>
      <rPr>
        <sz val="12"/>
        <rFont val="Arial"/>
        <family val="2"/>
        <charset val="186"/>
      </rPr>
      <t xml:space="preserve"> võib olla </t>
    </r>
    <r>
      <rPr>
        <b/>
        <sz val="12"/>
        <rFont val="Arial"/>
        <family val="2"/>
        <charset val="186"/>
      </rPr>
      <t>mitu lauset</t>
    </r>
    <r>
      <rPr>
        <sz val="12"/>
        <rFont val="Arial"/>
        <family val="2"/>
        <charset val="186"/>
      </rPr>
      <t xml:space="preserve">. </t>
    </r>
    <r>
      <rPr>
        <b/>
        <sz val="12"/>
        <rFont val="Arial"/>
        <family val="2"/>
        <charset val="186"/>
      </rPr>
      <t xml:space="preserve">Eraldaja - </t>
    </r>
    <r>
      <rPr>
        <b/>
        <sz val="12"/>
        <color indexed="12"/>
        <rFont val="Arial"/>
        <family val="2"/>
        <charset val="186"/>
      </rPr>
      <t>koolon</t>
    </r>
    <r>
      <rPr>
        <sz val="12"/>
        <rFont val="Arial"/>
        <family val="2"/>
        <charset val="186"/>
      </rPr>
      <t xml:space="preserve"> (</t>
    </r>
    <r>
      <rPr>
        <b/>
        <sz val="12"/>
        <rFont val="Arial"/>
        <family val="2"/>
        <charset val="186"/>
      </rPr>
      <t>:</t>
    </r>
    <r>
      <rPr>
        <sz val="12"/>
        <rFont val="Arial"/>
        <family val="2"/>
        <charset val="186"/>
      </rPr>
      <t>)</t>
    </r>
  </si>
  <si>
    <r>
      <t>Lause</t>
    </r>
    <r>
      <rPr>
        <sz val="12"/>
        <rFont val="Arial"/>
        <family val="2"/>
        <charset val="186"/>
      </rPr>
      <t xml:space="preserve"> võib paikneda </t>
    </r>
    <r>
      <rPr>
        <b/>
        <sz val="12"/>
        <rFont val="Arial"/>
        <family val="2"/>
        <charset val="186"/>
      </rPr>
      <t>mitmel real</t>
    </r>
    <r>
      <rPr>
        <sz val="12"/>
        <rFont val="Arial"/>
        <family val="2"/>
        <charset val="186"/>
      </rPr>
      <t xml:space="preserve">. </t>
    </r>
    <r>
      <rPr>
        <b/>
        <sz val="12"/>
        <rFont val="Arial"/>
        <family val="2"/>
        <charset val="186"/>
      </rPr>
      <t>Jätkamise tunnus</t>
    </r>
    <r>
      <rPr>
        <sz val="12"/>
        <rFont val="Arial"/>
        <family val="2"/>
        <charset val="186"/>
      </rPr>
      <t xml:space="preserve"> - </t>
    </r>
    <r>
      <rPr>
        <b/>
        <sz val="12"/>
        <color indexed="12"/>
        <rFont val="Arial"/>
        <family val="2"/>
        <charset val="186"/>
      </rPr>
      <t>allkriips</t>
    </r>
    <r>
      <rPr>
        <sz val="12"/>
        <rFont val="Arial"/>
        <family val="2"/>
        <charset val="186"/>
      </rPr>
      <t xml:space="preserve"> ( </t>
    </r>
    <r>
      <rPr>
        <b/>
        <sz val="12"/>
        <rFont val="Arial Black"/>
        <family val="2"/>
        <charset val="186"/>
      </rPr>
      <t>_</t>
    </r>
    <r>
      <rPr>
        <sz val="12"/>
        <rFont val="Arial Black"/>
        <family val="2"/>
        <charset val="186"/>
      </rPr>
      <t xml:space="preserve"> </t>
    </r>
    <r>
      <rPr>
        <sz val="12"/>
        <rFont val="Arial"/>
        <family val="2"/>
        <charset val="186"/>
      </rPr>
      <t>)</t>
    </r>
  </si>
  <si>
    <r>
      <t>Kommentaar</t>
    </r>
    <r>
      <rPr>
        <sz val="12"/>
        <rFont val="Arial"/>
        <family val="2"/>
        <charset val="186"/>
      </rPr>
      <t xml:space="preserve"> - eraldi real või lausete järel. Algab </t>
    </r>
    <r>
      <rPr>
        <b/>
        <sz val="12"/>
        <color indexed="12"/>
        <rFont val="Arial"/>
        <family val="2"/>
        <charset val="186"/>
      </rPr>
      <t>ülakomaga</t>
    </r>
    <r>
      <rPr>
        <sz val="12"/>
        <rFont val="Arial"/>
        <family val="2"/>
        <charset val="186"/>
      </rPr>
      <t xml:space="preserve"> ( </t>
    </r>
    <r>
      <rPr>
        <b/>
        <sz val="12"/>
        <rFont val="Arial"/>
        <family val="2"/>
        <charset val="186"/>
      </rPr>
      <t>'</t>
    </r>
    <r>
      <rPr>
        <b/>
        <sz val="12"/>
        <rFont val="Arial Black"/>
        <family val="2"/>
        <charset val="186"/>
      </rPr>
      <t xml:space="preserve"> </t>
    </r>
    <r>
      <rPr>
        <sz val="12"/>
        <rFont val="Arial"/>
        <family val="2"/>
        <charset val="186"/>
      </rPr>
      <t>)</t>
    </r>
  </si>
  <si>
    <r>
      <t xml:space="preserve">Keelereeglitega on määratletud kindel valik </t>
    </r>
    <r>
      <rPr>
        <b/>
        <sz val="12"/>
        <rFont val="Arial"/>
        <family val="2"/>
        <charset val="186"/>
      </rPr>
      <t>lausetüüpe</t>
    </r>
    <r>
      <rPr>
        <sz val="12"/>
        <rFont val="Arial"/>
        <family val="2"/>
        <charset val="186"/>
      </rPr>
      <t xml:space="preserve"> ja 
iga tüübi jaoks on fikseeritud:</t>
    </r>
  </si>
  <si>
    <r>
      <t>otstarve</t>
    </r>
    <r>
      <rPr>
        <sz val="12"/>
        <rFont val="Arial"/>
        <family val="2"/>
        <charset val="186"/>
      </rPr>
      <t xml:space="preserve">  - </t>
    </r>
    <r>
      <rPr>
        <sz val="12"/>
        <color indexed="8"/>
        <rFont val="Arial"/>
        <family val="2"/>
        <charset val="186"/>
      </rPr>
      <t>mida võimaldab</t>
    </r>
  </si>
  <si>
    <r>
      <t>süntaks</t>
    </r>
    <r>
      <rPr>
        <sz val="12"/>
        <rFont val="Arial"/>
        <family val="2"/>
        <charset val="186"/>
      </rPr>
      <t xml:space="preserve">  - </t>
    </r>
    <r>
      <rPr>
        <sz val="12"/>
        <color indexed="8"/>
        <rFont val="Arial"/>
        <family val="2"/>
        <charset val="186"/>
      </rPr>
      <t>struktuur ja põhielemendid</t>
    </r>
  </si>
  <si>
    <r>
      <t>semantika</t>
    </r>
    <r>
      <rPr>
        <sz val="12"/>
        <rFont val="Arial"/>
        <family val="2"/>
        <charset val="186"/>
      </rPr>
      <t xml:space="preserve"> - </t>
    </r>
    <r>
      <rPr>
        <sz val="12"/>
        <color indexed="8"/>
        <rFont val="Arial"/>
        <family val="2"/>
        <charset val="186"/>
      </rPr>
      <t>täitmise reeglid</t>
    </r>
  </si>
  <si>
    <t>Liht- ja liitlaused</t>
  </si>
  <si>
    <r>
      <t>Lihtlause</t>
    </r>
    <r>
      <rPr>
        <sz val="12"/>
        <rFont val="Arial"/>
        <family val="2"/>
        <charset val="186"/>
      </rPr>
      <t xml:space="preserve"> - ei sisalda endas teisi lauseid</t>
    </r>
  </si>
  <si>
    <r>
      <t>Sub, End Sub, Dim</t>
    </r>
    <r>
      <rPr>
        <sz val="12"/>
        <rFont val="Arial"/>
        <family val="2"/>
        <charset val="186"/>
      </rPr>
      <t>, omistuslause, ...</t>
    </r>
  </si>
  <si>
    <r>
      <t xml:space="preserve">Liitlause </t>
    </r>
    <r>
      <rPr>
        <sz val="12"/>
        <rFont val="Arial"/>
        <family val="2"/>
        <charset val="186"/>
      </rPr>
      <t>- sisaldab teisi lauseid</t>
    </r>
  </si>
  <si>
    <r>
      <t>If</t>
    </r>
    <r>
      <rPr>
        <sz val="12"/>
        <rFont val="Arial"/>
        <family val="2"/>
        <charset val="186"/>
      </rPr>
      <t xml:space="preserve">-laused, </t>
    </r>
    <r>
      <rPr>
        <b/>
        <sz val="12"/>
        <rFont val="Arial"/>
        <family val="2"/>
        <charset val="186"/>
      </rPr>
      <t>Do</t>
    </r>
    <r>
      <rPr>
        <sz val="12"/>
        <rFont val="Arial"/>
        <family val="2"/>
        <charset val="186"/>
      </rPr>
      <t xml:space="preserve"> ... </t>
    </r>
    <r>
      <rPr>
        <b/>
        <sz val="12"/>
        <rFont val="Arial"/>
        <family val="2"/>
        <charset val="186"/>
      </rPr>
      <t>Loop</t>
    </r>
    <r>
      <rPr>
        <sz val="12"/>
        <rFont val="Arial"/>
        <family val="2"/>
        <charset val="186"/>
      </rPr>
      <t>-lause</t>
    </r>
  </si>
  <si>
    <r>
      <t>Do</t>
    </r>
    <r>
      <rPr>
        <sz val="12"/>
        <rFont val="Arial"/>
        <family val="2"/>
        <charset val="186"/>
      </rPr>
      <t xml:space="preserve"> ja </t>
    </r>
    <r>
      <rPr>
        <b/>
        <sz val="12"/>
        <color indexed="12"/>
        <rFont val="Arial"/>
        <family val="2"/>
        <charset val="186"/>
      </rPr>
      <t>Loop</t>
    </r>
    <r>
      <rPr>
        <sz val="12"/>
        <rFont val="Arial"/>
        <family val="2"/>
        <charset val="186"/>
      </rPr>
      <t xml:space="preserve"> vahel olevaid lauseid korratakse seni,
kuni tingimus</t>
    </r>
    <r>
      <rPr>
        <b/>
        <sz val="12"/>
        <color indexed="12"/>
        <rFont val="Arial"/>
        <family val="2"/>
        <charset val="186"/>
      </rPr>
      <t xml:space="preserve"> If</t>
    </r>
    <r>
      <rPr>
        <sz val="12"/>
        <rFont val="Arial"/>
        <family val="2"/>
        <charset val="186"/>
      </rPr>
      <t>-lauses saab tõeseks</t>
    </r>
  </si>
  <si>
    <t>Programmiredaktor</t>
  </si>
  <si>
    <r>
      <t xml:space="preserve">Redaktor </t>
    </r>
    <r>
      <rPr>
        <sz val="12"/>
        <rFont val="Arial"/>
        <family val="2"/>
      </rPr>
      <t xml:space="preserve"> - </t>
    </r>
    <r>
      <rPr>
        <b/>
        <sz val="12"/>
        <color indexed="8"/>
        <rFont val="Arial"/>
        <family val="2"/>
      </rPr>
      <t xml:space="preserve">Tools/Macro/Visual Basic Editor    </t>
    </r>
    <r>
      <rPr>
        <b/>
        <sz val="12"/>
        <color indexed="12"/>
        <rFont val="Arial"/>
        <family val="2"/>
      </rPr>
      <t>&lt;Alt&gt; + &lt;F11&gt;</t>
    </r>
  </si>
  <si>
    <t>programmide sisestamine, redigeerimine ja silumine</t>
  </si>
  <si>
    <t>vormide loomine ja kujundamine</t>
  </si>
  <si>
    <t>Põhikomponendid</t>
  </si>
  <si>
    <r>
      <t>kasutajaliides</t>
    </r>
    <r>
      <rPr>
        <sz val="12"/>
        <rFont val="Arial"/>
        <family val="2"/>
      </rPr>
      <t xml:space="preserve"> - menüü, tööriistaribad, abi, ..</t>
    </r>
  </si>
  <si>
    <t>projektihaldur</t>
  </si>
  <si>
    <r>
      <t>moodulid</t>
    </r>
    <r>
      <rPr>
        <b/>
        <sz val="12"/>
        <rFont val="Arial"/>
        <family val="2"/>
      </rPr>
      <t xml:space="preserve"> </t>
    </r>
    <r>
      <rPr>
        <sz val="12"/>
        <rFont val="Arial"/>
        <family val="2"/>
      </rPr>
      <t>(moodulilehed)</t>
    </r>
  </si>
  <si>
    <t>Võib kasutada ühte või mitut moodulit (moodulilehte)</t>
  </si>
  <si>
    <t>Moodulis võib olla mitu protseduuri</t>
  </si>
  <si>
    <t>Mooduleid on kahte liiki</t>
  </si>
  <si>
    <t>Objektimoodulid</t>
  </si>
  <si>
    <r>
      <t>on seotud konkreetsete objektiga (</t>
    </r>
    <r>
      <rPr>
        <b/>
        <sz val="12"/>
        <color indexed="12"/>
        <rFont val="Arial"/>
        <family val="2"/>
      </rPr>
      <t>töövihik</t>
    </r>
    <r>
      <rPr>
        <sz val="12"/>
        <rFont val="Arial"/>
        <family val="2"/>
      </rPr>
      <t>,</t>
    </r>
    <r>
      <rPr>
        <b/>
        <sz val="12"/>
        <color indexed="12"/>
        <rFont val="Arial"/>
        <family val="2"/>
      </rPr>
      <t xml:space="preserve"> tööleht</t>
    </r>
    <r>
      <rPr>
        <sz val="12"/>
        <rFont val="Arial"/>
        <family val="2"/>
      </rPr>
      <t xml:space="preserve">, </t>
    </r>
    <r>
      <rPr>
        <b/>
        <sz val="12"/>
        <color indexed="12"/>
        <rFont val="Arial"/>
        <family val="2"/>
      </rPr>
      <t>vorm</t>
    </r>
    <r>
      <rPr>
        <sz val="12"/>
        <rFont val="Arial"/>
        <family val="2"/>
      </rPr>
      <t>)</t>
    </r>
  </si>
  <si>
    <t>ainult üks igal objektil, luuakse ja eemaldatakse koos objektiga</t>
  </si>
  <si>
    <r>
      <t xml:space="preserve">salvestatakse protseduurid, mis on seotud  antud objektiga  (n. </t>
    </r>
    <r>
      <rPr>
        <b/>
        <sz val="12"/>
        <color indexed="10"/>
        <rFont val="Arial"/>
        <family val="2"/>
      </rPr>
      <t>sündmusprotseduurid</t>
    </r>
    <r>
      <rPr>
        <sz val="12"/>
        <rFont val="Arial"/>
        <family val="2"/>
      </rPr>
      <t>)</t>
    </r>
  </si>
  <si>
    <r>
      <t>Üldmoodulid</t>
    </r>
    <r>
      <rPr>
        <sz val="14"/>
        <rFont val="Arial"/>
        <family val="2"/>
      </rPr>
      <t/>
    </r>
  </si>
  <si>
    <t>salvestatakse üldise iseloomuga protseduurid</t>
  </si>
  <si>
    <t>alguses pole ühtegi, saab lisada ja eemaldada</t>
  </si>
  <si>
    <t>Interpretaator</t>
  </si>
  <si>
    <r>
      <t xml:space="preserve">Täidab </t>
    </r>
    <r>
      <rPr>
        <sz val="12"/>
        <rFont val="Arial"/>
        <family val="2"/>
      </rPr>
      <t>kasutaja programme</t>
    </r>
  </si>
  <si>
    <r>
      <t xml:space="preserve">kontrollib </t>
    </r>
    <r>
      <rPr>
        <sz val="12"/>
        <rFont val="Arial"/>
        <family val="2"/>
      </rPr>
      <t>protseduuride</t>
    </r>
    <r>
      <rPr>
        <b/>
        <sz val="12"/>
        <rFont val="Arial"/>
        <family val="2"/>
      </rPr>
      <t xml:space="preserve"> süntaksi</t>
    </r>
  </si>
  <si>
    <r>
      <t>eraldab</t>
    </r>
    <r>
      <rPr>
        <sz val="12"/>
        <rFont val="Arial"/>
        <family val="2"/>
      </rPr>
      <t xml:space="preserve"> protseduuridele </t>
    </r>
    <r>
      <rPr>
        <b/>
        <sz val="12"/>
        <color indexed="12"/>
        <rFont val="Arial"/>
        <family val="2"/>
      </rPr>
      <t>tööpiirkonnad</t>
    </r>
  </si>
  <si>
    <r>
      <t>transleerib</t>
    </r>
    <r>
      <rPr>
        <sz val="12"/>
        <rFont val="Arial"/>
        <family val="2"/>
      </rPr>
      <t xml:space="preserve"> (tõlgib)  programmi laused masinakeelde ja</t>
    </r>
  </si>
  <si>
    <r>
      <t xml:space="preserve">suunab saadud käsud täitmiseks </t>
    </r>
    <r>
      <rPr>
        <b/>
        <sz val="12"/>
        <color indexed="10"/>
        <rFont val="Arial"/>
        <family val="2"/>
      </rPr>
      <t>protsessorile</t>
    </r>
  </si>
  <si>
    <r>
      <t>Tööpiirkond</t>
    </r>
    <r>
      <rPr>
        <sz val="12"/>
        <rFont val="Arial"/>
        <family val="2"/>
      </rPr>
      <t xml:space="preserve"> eraldatakse </t>
    </r>
    <r>
      <rPr>
        <b/>
        <sz val="12"/>
        <rFont val="Arial"/>
        <family val="2"/>
      </rPr>
      <t>igale protseduurile eraldi siis</t>
    </r>
    <r>
      <rPr>
        <sz val="12"/>
        <rFont val="Arial"/>
        <family val="2"/>
      </rPr>
      <t>,</t>
    </r>
  </si>
  <si>
    <r>
      <t>kui toimub selle poole</t>
    </r>
    <r>
      <rPr>
        <b/>
        <sz val="12"/>
        <color indexed="10"/>
        <rFont val="Arial"/>
        <family val="2"/>
      </rPr>
      <t xml:space="preserve"> pöördumine</t>
    </r>
  </si>
  <si>
    <t>Tööpiirkond koosneb kahest osast:</t>
  </si>
  <si>
    <t>programmiplokk</t>
  </si>
  <si>
    <t>protseduuri laused</t>
  </si>
  <si>
    <t>andmeplokk</t>
  </si>
  <si>
    <r>
      <t>mälupesad</t>
    </r>
    <r>
      <rPr>
        <sz val="12"/>
        <rFont val="Arial"/>
        <family val="2"/>
      </rPr>
      <t xml:space="preserve"> (väljad) protseduuris kasutatavate muutujate jaoks </t>
    </r>
  </si>
  <si>
    <r>
      <t xml:space="preserve">Protseduur saab </t>
    </r>
    <r>
      <rPr>
        <sz val="12"/>
        <color indexed="10"/>
        <rFont val="Arial"/>
        <family val="2"/>
      </rPr>
      <t>salvestada</t>
    </r>
    <r>
      <rPr>
        <sz val="12"/>
        <rFont val="Arial"/>
        <family val="2"/>
      </rPr>
      <t xml:space="preserve"> pesadesse täitmise ajal tekkivaid väärtusi</t>
    </r>
  </si>
  <si>
    <r>
      <t>ja kasutada (</t>
    </r>
    <r>
      <rPr>
        <sz val="12"/>
        <color indexed="10"/>
        <rFont val="Arial"/>
        <family val="2"/>
      </rPr>
      <t>lugeda</t>
    </r>
    <r>
      <rPr>
        <sz val="12"/>
        <rFont val="Arial"/>
        <family val="2"/>
      </rPr>
      <t>) olemasolevaid uute väärtuste leidmiseks</t>
    </r>
  </si>
  <si>
    <r>
      <t>Viitamiseks</t>
    </r>
    <r>
      <rPr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pesadele</t>
    </r>
    <r>
      <rPr>
        <sz val="12"/>
        <rFont val="Arial"/>
        <family val="2"/>
      </rPr>
      <t xml:space="preserve"> kasutatakse (muutujate) </t>
    </r>
    <r>
      <rPr>
        <b/>
        <sz val="12"/>
        <color indexed="12"/>
        <rFont val="Arial"/>
        <family val="2"/>
      </rPr>
      <t>nimesid</t>
    </r>
    <r>
      <rPr>
        <sz val="12"/>
        <rFont val="Arial"/>
        <family val="2"/>
      </rPr>
      <t xml:space="preserve">, </t>
    </r>
  </si>
  <si>
    <t>mis on määratletud programmis (Dim-lause jm)</t>
  </si>
  <si>
    <t>Protseduuri täitmine</t>
  </si>
  <si>
    <r>
      <t xml:space="preserve">Lauseid </t>
    </r>
    <r>
      <rPr>
        <b/>
        <sz val="12"/>
        <color indexed="10"/>
        <rFont val="Arial"/>
        <family val="2"/>
      </rPr>
      <t>täidetakse</t>
    </r>
    <r>
      <rPr>
        <b/>
        <sz val="12"/>
        <color indexed="12"/>
        <rFont val="Arial"/>
        <family val="2"/>
      </rPr>
      <t xml:space="preserve"> selles järjekorras, nagu nad on esitatud!</t>
    </r>
  </si>
  <si>
    <r>
      <t>Juhtimislaused</t>
    </r>
    <r>
      <rPr>
        <b/>
        <sz val="12"/>
        <color indexed="12"/>
        <rFont val="Arial"/>
        <family val="2"/>
      </rPr>
      <t xml:space="preserve"> </t>
    </r>
    <r>
      <rPr>
        <sz val="12"/>
        <rFont val="Arial"/>
        <family val="2"/>
      </rPr>
      <t>(</t>
    </r>
    <r>
      <rPr>
        <b/>
        <sz val="12"/>
        <color indexed="12"/>
        <rFont val="Arial"/>
        <family val="2"/>
      </rPr>
      <t>If</t>
    </r>
    <r>
      <rPr>
        <sz val="12"/>
        <rFont val="Arial"/>
        <family val="2"/>
      </rPr>
      <t>,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Do</t>
    </r>
    <r>
      <rPr>
        <sz val="12"/>
        <rFont val="Arial"/>
        <family val="2"/>
      </rPr>
      <t>, ...) võimaldavad muuta loomuliku täitmise järjekorda:</t>
    </r>
  </si>
  <si>
    <t>jätta vahele lauseid, pöörduda tagasi jm.</t>
  </si>
  <si>
    <t>Makrode käivitamine</t>
  </si>
  <si>
    <t>Käivitamine Developer vahekaardilt</t>
  </si>
  <si>
    <t>Developer-Macros-Macro-(nimi)-Run</t>
  </si>
  <si>
    <t>Nupu abil</t>
  </si>
  <si>
    <t>Nupp+Assign Macro</t>
  </si>
  <si>
    <t>Command Button'i abil</t>
  </si>
  <si>
    <t>Command Button + View code</t>
  </si>
  <si>
    <r>
      <rPr>
        <sz val="12"/>
        <color rgb="FF0070C0"/>
        <rFont val="Arial"/>
        <family val="2"/>
        <charset val="204"/>
      </rPr>
      <t>Private Sub</t>
    </r>
    <r>
      <rPr>
        <sz val="12"/>
        <rFont val="Arial"/>
        <family val="2"/>
        <charset val="186"/>
      </rPr>
      <t xml:space="preserve"> CommandButton1_Click()</t>
    </r>
  </si>
  <si>
    <r>
      <t>Klahvikombinatsiooni (</t>
    </r>
    <r>
      <rPr>
        <b/>
        <sz val="12"/>
        <rFont val="Arial"/>
        <family val="2"/>
      </rPr>
      <t>Ctrl+täht</t>
    </r>
    <r>
      <rPr>
        <sz val="12"/>
        <rFont val="Arial"/>
        <family val="2"/>
        <charset val="186"/>
      </rPr>
      <t>) määramine</t>
    </r>
  </si>
  <si>
    <t>&lt;Ctrl&gt; + &lt;k&gt;</t>
  </si>
  <si>
    <t xml:space="preserve">    kysimus</t>
  </si>
  <si>
    <t>Graafilise objekti abil</t>
  </si>
  <si>
    <t>Graafiline objekt + Assign Macro</t>
  </si>
  <si>
    <t>Teisest programmist</t>
  </si>
  <si>
    <t>Programmide täitmine sammhaaval</t>
  </si>
  <si>
    <t>katkestuspunkt</t>
  </si>
  <si>
    <r>
      <t>klahv</t>
    </r>
    <r>
      <rPr>
        <sz val="12"/>
        <color indexed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F8</t>
    </r>
  </si>
  <si>
    <r>
      <t>Locals Window</t>
    </r>
    <r>
      <rPr>
        <sz val="12"/>
        <rFont val="Arial"/>
        <family val="2"/>
      </rPr>
      <t xml:space="preserve"> - sisemuutujate ja parameetrite väärtused</t>
    </r>
  </si>
  <si>
    <r>
      <t>Function</t>
    </r>
    <r>
      <rPr>
        <b/>
        <sz val="12"/>
        <rFont val="Arial"/>
        <family val="2"/>
      </rPr>
      <t>-protseduuri tüüpstruktuur</t>
    </r>
  </si>
  <si>
    <r>
      <t xml:space="preserve">Üherealine </t>
    </r>
    <r>
      <rPr>
        <b/>
        <sz val="12"/>
        <color indexed="12"/>
        <rFont val="Arial"/>
        <family val="2"/>
      </rPr>
      <t>If</t>
    </r>
    <r>
      <rPr>
        <b/>
        <sz val="12"/>
        <rFont val="Arial"/>
        <family val="2"/>
      </rPr>
      <t>-lause</t>
    </r>
  </si>
  <si>
    <r>
      <t>Function</t>
    </r>
    <r>
      <rPr>
        <sz val="12"/>
        <rFont val="Arial"/>
        <family val="2"/>
        <charset val="204"/>
      </rPr>
      <t xml:space="preserve"> </t>
    </r>
    <r>
      <rPr>
        <b/>
        <sz val="12"/>
        <rFont val="Arial"/>
        <family val="2"/>
      </rPr>
      <t>F_nimi</t>
    </r>
    <r>
      <rPr>
        <sz val="12"/>
        <rFont val="Arial"/>
        <family val="2"/>
        <charset val="204"/>
      </rPr>
      <t xml:space="preserve"> ( [</t>
    </r>
    <r>
      <rPr>
        <b/>
        <i/>
        <sz val="12"/>
        <rFont val="Arial"/>
        <family val="2"/>
      </rPr>
      <t xml:space="preserve"> parameetrid</t>
    </r>
    <r>
      <rPr>
        <sz val="12"/>
        <rFont val="Arial"/>
        <family val="2"/>
        <charset val="204"/>
      </rPr>
      <t xml:space="preserve"> ] )</t>
    </r>
  </si>
  <si>
    <r>
      <t>If</t>
    </r>
    <r>
      <rPr>
        <b/>
        <i/>
        <sz val="12"/>
        <rFont val="Arial"/>
        <family val="2"/>
      </rPr>
      <t xml:space="preserve"> </t>
    </r>
    <r>
      <rPr>
        <i/>
        <sz val="12"/>
        <rFont val="Arial"/>
        <family val="2"/>
      </rPr>
      <t>tingimus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Then</t>
    </r>
    <r>
      <rPr>
        <b/>
        <sz val="12"/>
        <rFont val="Arial"/>
        <family val="2"/>
      </rPr>
      <t xml:space="preserve"> </t>
    </r>
    <r>
      <rPr>
        <b/>
        <i/>
        <sz val="12"/>
        <rFont val="Arial"/>
        <family val="2"/>
      </rPr>
      <t>laused_1</t>
    </r>
    <r>
      <rPr>
        <b/>
        <sz val="12"/>
        <rFont val="Arial"/>
        <family val="2"/>
      </rPr>
      <t xml:space="preserve">  </t>
    </r>
    <r>
      <rPr>
        <sz val="12"/>
        <rFont val="Arial"/>
        <family val="2"/>
        <charset val="204"/>
      </rPr>
      <t>[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Else</t>
    </r>
    <r>
      <rPr>
        <b/>
        <i/>
        <sz val="12"/>
        <rFont val="Arial"/>
        <family val="2"/>
      </rPr>
      <t xml:space="preserve"> laused_2</t>
    </r>
    <r>
      <rPr>
        <sz val="12"/>
        <rFont val="Arial"/>
        <family val="2"/>
        <charset val="204"/>
      </rPr>
      <t xml:space="preserve"> ]</t>
    </r>
  </si>
  <si>
    <r>
      <t xml:space="preserve">[ </t>
    </r>
    <r>
      <rPr>
        <b/>
        <sz val="12"/>
        <color indexed="12"/>
        <rFont val="Arial"/>
        <family val="2"/>
      </rPr>
      <t xml:space="preserve">Const </t>
    </r>
    <r>
      <rPr>
        <b/>
        <i/>
        <sz val="12"/>
        <rFont val="Arial"/>
        <family val="2"/>
      </rPr>
      <t xml:space="preserve">konstandid </t>
    </r>
    <r>
      <rPr>
        <sz val="12"/>
        <rFont val="Arial"/>
        <family val="2"/>
        <charset val="204"/>
      </rPr>
      <t>]</t>
    </r>
  </si>
  <si>
    <t>Lause peab paiknema ühel real</t>
  </si>
  <si>
    <r>
      <t xml:space="preserve">[ </t>
    </r>
    <r>
      <rPr>
        <b/>
        <sz val="12"/>
        <color indexed="12"/>
        <rFont val="Arial"/>
        <family val="2"/>
      </rPr>
      <t xml:space="preserve">Dim </t>
    </r>
    <r>
      <rPr>
        <b/>
        <i/>
        <sz val="12"/>
        <rFont val="Arial"/>
        <family val="2"/>
      </rPr>
      <t>muutujad</t>
    </r>
    <r>
      <rPr>
        <sz val="12"/>
        <rFont val="Arial"/>
        <family val="2"/>
        <charset val="204"/>
      </rPr>
      <t xml:space="preserve"> ]</t>
    </r>
  </si>
  <si>
    <t xml:space="preserve">  laused ja kommentaarid</t>
  </si>
  <si>
    <r>
      <t>Mitmerealise</t>
    </r>
    <r>
      <rPr>
        <b/>
        <sz val="12"/>
        <color indexed="12"/>
        <rFont val="Arial"/>
        <family val="2"/>
      </rPr>
      <t xml:space="preserve"> If</t>
    </r>
    <r>
      <rPr>
        <b/>
        <sz val="12"/>
        <rFont val="Arial"/>
        <family val="2"/>
      </rPr>
      <t>-lause põhivariant (kahendvalik)</t>
    </r>
  </si>
  <si>
    <r>
      <t xml:space="preserve"> </t>
    </r>
    <r>
      <rPr>
        <b/>
        <sz val="12"/>
        <rFont val="Arial"/>
        <family val="2"/>
      </rPr>
      <t xml:space="preserve"> F_nimi</t>
    </r>
    <r>
      <rPr>
        <sz val="12"/>
        <rFont val="Arial"/>
        <family val="2"/>
        <charset val="204"/>
      </rPr>
      <t xml:space="preserve"> =</t>
    </r>
    <r>
      <rPr>
        <b/>
        <i/>
        <sz val="12"/>
        <rFont val="Arial"/>
        <family val="2"/>
      </rPr>
      <t xml:space="preserve"> tagastatav väärtus</t>
    </r>
  </si>
  <si>
    <r>
      <t>If</t>
    </r>
    <r>
      <rPr>
        <b/>
        <i/>
        <sz val="12"/>
        <color indexed="12"/>
        <rFont val="Arial"/>
        <family val="2"/>
      </rPr>
      <t xml:space="preserve"> </t>
    </r>
    <r>
      <rPr>
        <i/>
        <sz val="12"/>
        <rFont val="Arial"/>
        <family val="2"/>
      </rPr>
      <t>tingimus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Then</t>
    </r>
  </si>
  <si>
    <t>End Function</t>
  </si>
  <si>
    <r>
      <t>laused_1</t>
    </r>
    <r>
      <rPr>
        <b/>
        <sz val="12"/>
        <rFont val="Arial"/>
        <family val="2"/>
      </rPr>
      <t xml:space="preserve">  </t>
    </r>
  </si>
  <si>
    <r>
      <t>[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Else</t>
    </r>
    <r>
      <rPr>
        <b/>
        <sz val="12"/>
        <rFont val="Arial"/>
        <family val="2"/>
      </rPr>
      <t xml:space="preserve"> </t>
    </r>
  </si>
  <si>
    <r>
      <t>laused_2</t>
    </r>
    <r>
      <rPr>
        <sz val="12"/>
        <rFont val="Arial"/>
        <family val="2"/>
        <charset val="204"/>
      </rPr>
      <t xml:space="preserve"> ]</t>
    </r>
  </si>
  <si>
    <t>End If</t>
  </si>
  <si>
    <r>
      <t>If</t>
    </r>
    <r>
      <rPr>
        <b/>
        <sz val="12"/>
        <rFont val="Arial"/>
        <family val="2"/>
      </rPr>
      <t>-plokk</t>
    </r>
    <r>
      <rPr>
        <sz val="12"/>
        <rFont val="Arial"/>
        <family val="2"/>
      </rPr>
      <t xml:space="preserve"> - üldjuht</t>
    </r>
  </si>
  <si>
    <r>
      <t>Select Case</t>
    </r>
    <r>
      <rPr>
        <b/>
        <sz val="12"/>
        <rFont val="Arial"/>
        <family val="2"/>
      </rPr>
      <t>-lause</t>
    </r>
  </si>
  <si>
    <r>
      <t xml:space="preserve"> </t>
    </r>
    <r>
      <rPr>
        <b/>
        <sz val="12"/>
        <color indexed="12"/>
        <rFont val="Arial"/>
        <family val="2"/>
      </rPr>
      <t>Select Case</t>
    </r>
    <r>
      <rPr>
        <sz val="12"/>
        <rFont val="Arial"/>
        <family val="2"/>
        <charset val="204"/>
      </rPr>
      <t xml:space="preserve"> selektor</t>
    </r>
  </si>
  <si>
    <r>
      <t xml:space="preserve">{ </t>
    </r>
    <r>
      <rPr>
        <b/>
        <sz val="12"/>
        <color indexed="12"/>
        <rFont val="Arial"/>
        <family val="2"/>
      </rPr>
      <t>Case</t>
    </r>
    <r>
      <rPr>
        <sz val="12"/>
        <rFont val="Arial"/>
        <family val="2"/>
        <charset val="204"/>
      </rPr>
      <t xml:space="preserve"> kriteerium-k</t>
    </r>
  </si>
  <si>
    <t>[ laused-k ] }</t>
  </si>
  <si>
    <r>
      <t xml:space="preserve">[ </t>
    </r>
    <r>
      <rPr>
        <b/>
        <sz val="12"/>
        <color indexed="12"/>
        <rFont val="Arial"/>
        <family val="2"/>
      </rPr>
      <t>Case Else</t>
    </r>
  </si>
  <si>
    <t xml:space="preserve"> [ laused ] ]</t>
  </si>
  <si>
    <t>End Select</t>
  </si>
  <si>
    <t>Ülesanne</t>
  </si>
  <si>
    <t>funktsioon  hind_maksuta(hind;protsent),</t>
  </si>
  <si>
    <t xml:space="preserve">funktsioon  maks(hind; protsent), </t>
  </si>
  <si>
    <t xml:space="preserve">Koostada kaks funktsiooni mis arvutavad iga töötaja preemia ja palga suurus, kui preemia moodustub n%  põhipalgast. </t>
  </si>
  <si>
    <r>
      <t xml:space="preserve"> Koostada skeemi alusel kasutajafunktsioon </t>
    </r>
    <r>
      <rPr>
        <b/>
        <sz val="11"/>
        <color rgb="FF000000"/>
        <rFont val="Arial"/>
        <family val="2"/>
        <charset val="204"/>
      </rPr>
      <t>VBA</t>
    </r>
    <r>
      <rPr>
        <sz val="11"/>
        <color rgb="FF000000"/>
        <rFont val="Arial"/>
        <family val="2"/>
        <charset val="204"/>
      </rPr>
      <t xml:space="preserve">-s, mis näitaks, kas inimene on </t>
    </r>
    <r>
      <rPr>
        <i/>
        <sz val="11"/>
        <color rgb="FF000000"/>
        <rFont val="Arial"/>
        <family val="2"/>
        <charset val="204"/>
      </rPr>
      <t>alakaaluline</t>
    </r>
    <r>
      <rPr>
        <sz val="11"/>
        <color rgb="FF000000"/>
        <rFont val="Arial"/>
        <family val="2"/>
        <charset val="204"/>
      </rPr>
      <t xml:space="preserve">, </t>
    </r>
    <r>
      <rPr>
        <i/>
        <sz val="11"/>
        <color rgb="FF000000"/>
        <rFont val="Arial"/>
        <family val="2"/>
        <charset val="204"/>
      </rPr>
      <t>ülekaaluline</t>
    </r>
    <r>
      <rPr>
        <sz val="11"/>
        <color rgb="FF000000"/>
        <rFont val="Arial"/>
        <family val="2"/>
        <charset val="204"/>
      </rPr>
      <t xml:space="preserve"> või </t>
    </r>
    <r>
      <rPr>
        <i/>
        <sz val="11"/>
        <color rgb="FF000000"/>
        <rFont val="Arial"/>
        <family val="2"/>
        <charset val="204"/>
      </rPr>
      <t>normaalse kaaluga</t>
    </r>
    <r>
      <rPr>
        <sz val="11"/>
        <color rgb="FF000000"/>
        <rFont val="Arial"/>
        <family val="2"/>
        <charset val="204"/>
      </rPr>
      <t>.</t>
    </r>
  </si>
  <si>
    <r>
      <t xml:space="preserve">Kirjutada kasutajafunktsioon </t>
    </r>
    <r>
      <rPr>
        <b/>
        <sz val="11"/>
        <color rgb="FF000000"/>
        <rFont val="Arial"/>
        <family val="2"/>
        <charset val="204"/>
      </rPr>
      <t>hinne (punktid)</t>
    </r>
    <r>
      <rPr>
        <sz val="11"/>
        <color rgb="FF000000"/>
        <rFont val="Arial"/>
        <family val="2"/>
        <charset val="204"/>
      </rPr>
      <t>, mis punktide</t>
    </r>
  </si>
  <si>
    <t xml:space="preserve"> järgi leiab hinne.</t>
  </si>
  <si>
    <t>Makro loomine ja käivitamine.</t>
  </si>
  <si>
    <t>Koostada makro, mis moodustab/loob graafikd (eelmise nädala harjutus)</t>
  </si>
  <si>
    <t>macro to create charts in excel:</t>
  </si>
  <si>
    <t>https://www.youtube.com/watch?v=iFe04n1qKN4</t>
  </si>
  <si>
    <t>https://www.google.com/search?q=macro+to+create+charts+in+excel&amp;rlz=1C2PRFI_enEE780&amp;sca_esv=daf00478b2424d26&amp;sxsrf=ACQVn0_QEm42jEaKMjf-pYBM8-POj-24gw%3A1707110056560&amp;source=hp&amp;ei=qG7AZczOHsKRxc8PsoWXkA8&amp;iflsig=ANes7DEAAAAAZcB8uKrs3bCBpdjSJOShz4rfOLVa-iF1&amp;udm=&amp;ved=0ahUKEwjMworEuJOEAxXCSPEDHbLCBfIQ4dUDCBU&amp;uact=5&amp;oq=macro+to+create+charts+in+excel&amp;gs_lp=Egdnd3Mtd2l6Ih9tYWNybyB0byBjcmVhdGUgY2hhcnRzIGluIGV4Y2VsMgcQABiABBgTMggQABgWGB4YE0izzQFQ1hRYwMYBcAJ4AJABAJgBwQGgAZElqgEEMC4zMrgBA8gBAPgBAagCCsICBxAjGOoCGCfCAgQQIxgnwgIKECMYgAQYigUYJ8ICEBAAGIAEGIoFGEMYsQMYgwHCAgsQABiABBixAxiDAcICDhAuGIAEGLEDGMcBGNEDwgIOEAAYgAQYigUYsQMYgwHCAgoQABiABBiKBRhDwgIKEC4YgAQYigUYQ8ICBRAAGIAEwgIREC4YgwEYxwEYsQMY0QMYgATCAgUQLhiABMICCxAuGIAEGMcBGK8BwgILEC4YgAQYxwEY0QPCAggQLhiABBjLAcICCBAAGIAEGMsBwgIOEC4YgAQYywEYxwEYrwHCAgoQLhiABBjLARgKwgIKEAAYgAQYywEYCsICChAAGIAEGBQYhwLCAgcQABiABBgKwgIGEAAYFhgewgIIEAAYFhgeGA_CAgcQABiABBgNwgIGEAAYHhgNwgIKEAAYFhgeGA8YE8ICCRAAGIAEGA0YEw&amp;sclient=gws-wiz#fpstate=ive&amp;vld=cid:b20c464a,vid:iFe04n1qKN4,st:0</t>
  </si>
  <si>
    <t>https://www.google.com/search?q=macro+to+create+charts+in+excel&amp;rlz=1C2PRFI_enEE780&amp;sca_esv=daf00478b2424d26&amp;sxsrf=ACQVn0_QEm42jEaKMjf-pYBM8-POj-24gw%3A1707110056560&amp;source=hp&amp;ei=qG7AZczOHsKRxc8PsoWXkA8&amp;iflsig=ANes7DEAAAAAZcB8uKrs3bCBpdjSJOShz4rfOLVa-iF1&amp;udm=&amp;ved=0ahUKEwjMworEuJOEAxXCSPEDHbLCBfIQ4dUDCBU&amp;uact=5&amp;oq=macro+to+create+charts+in+excel&amp;gs_lp=Egdnd3Mtd2l6Ih9tYWNybyB0byBjcmVhdGUgY2hhcnRzIGluIGV4Y2VsMgcQABiABBgTMggQABgWGB4YE0izzQFQ1hRYwMYBcAJ4AJABAJgBwQGgAZElqgEEMC4zMrgBA8gBAPgBAagCCsICBxAjGOoCGCfCAgQQIxgnwgIKECMYgAQYigUYJ8ICEBAAGIAEGIoFGEMYsQMYgwHCAgsQABiABBixAxiDAcICDhAuGIAEGLEDGMcBGNEDwgIOEAAYgAQYigUYsQMYgwHCAgoQABiABBiKBRhDwgIKEC4YgAQYigUYQ8ICBRAAGIAEwgIREC4YgwEYxwEYsQMY0QMYgATCAgUQLhiABMICCxAuGIAEGMcBGK8BwgILEC4YgAQYxwEY0QPCAggQLhiABBjLAcICCBAAGIAEGMsBwgIOEC4YgAQYywEYxwEYrwHCAgoQLhiABBjLARgKwgIKEAAYgAQYywEYCsICChAAGIAEGBQYhwLCAgcQABiABBgKwgIGEAAYFhgewgIIEAAYFhgeGA_CAgcQABiABBgNwgIGEAAYHhgNwgIKEAAYFhgeGA8YE8ICCRAAGIAEGA0YEw&amp;sclient=gws-wiz#fpstate=ive&amp;vld=cid:f3b923fa,vid:xtymYml9fwc,st:0</t>
  </si>
  <si>
    <t>ei</t>
  </si>
  <si>
    <t>jah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</si>
</sst>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kr&quot;_-;\-* #,##0.00\ &quot;kr&quot;_-;_-* &quot;-&quot;??\ &quot;kr&quot;_-;_-@_-"/>
    <numFmt numFmtId="165" formatCode="#,##0\ &quot;€&quot;"/>
    <numFmt numFmtId="166" formatCode="_-[$€-2]\ * #,##0.00_-;\-[$€-2]\ * #,##0.00_-;_-[$€-2]\ * &quot;-&quot;??_-;_-@_-"/>
    <numFmt numFmtId="167" formatCode=";;;"/>
  </numFmts>
  <fonts count="63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0"/>
      <name val="Arial"/>
      <family val="2"/>
      <charset val="186"/>
    </font>
    <font>
      <sz val="9"/>
      <color indexed="81"/>
      <name val="Tahoma"/>
      <family val="2"/>
      <charset val="186"/>
    </font>
    <font>
      <b/>
      <sz val="11"/>
      <name val="Arial"/>
      <family val="2"/>
      <charset val="186"/>
    </font>
    <font>
      <sz val="11"/>
      <name val="Arial"/>
      <family val="2"/>
      <charset val="186"/>
    </font>
    <font>
      <sz val="9"/>
      <color rgb="FF000000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2"/>
      <color indexed="12"/>
      <name val="Arial"/>
      <family val="2"/>
      <charset val="204"/>
    </font>
    <font>
      <b/>
      <sz val="16"/>
      <name val="Arial"/>
      <family val="2"/>
    </font>
    <font>
      <sz val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</font>
    <font>
      <sz val="12"/>
      <name val="Arial"/>
      <family val="2"/>
    </font>
    <font>
      <b/>
      <sz val="18"/>
      <color indexed="12"/>
      <name val="Arial"/>
      <family val="2"/>
    </font>
    <font>
      <sz val="20"/>
      <color rgb="FFC00000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b/>
      <sz val="12"/>
      <color indexed="12"/>
      <name val="Arial"/>
      <family val="2"/>
    </font>
    <font>
      <b/>
      <sz val="12"/>
      <color indexed="8"/>
      <name val="Arial"/>
      <family val="2"/>
      <charset val="186"/>
    </font>
    <font>
      <b/>
      <sz val="12"/>
      <name val="Arial"/>
      <family val="2"/>
      <charset val="186"/>
    </font>
    <font>
      <sz val="12"/>
      <name val="Arial"/>
      <family val="2"/>
      <charset val="186"/>
    </font>
    <font>
      <b/>
      <sz val="12"/>
      <color indexed="12"/>
      <name val="Arial"/>
      <family val="2"/>
      <charset val="186"/>
    </font>
    <font>
      <b/>
      <sz val="12"/>
      <color indexed="10"/>
      <name val="Arial"/>
      <family val="2"/>
      <charset val="186"/>
    </font>
    <font>
      <shadow/>
      <sz val="12"/>
      <name val="Tahoma"/>
      <family val="2"/>
    </font>
    <font>
      <b/>
      <shadow/>
      <sz val="12"/>
      <color indexed="12"/>
      <name val="Tahoma"/>
      <family val="2"/>
    </font>
    <font>
      <b/>
      <sz val="12"/>
      <name val="Arial"/>
      <family val="2"/>
    </font>
    <font>
      <b/>
      <sz val="12"/>
      <color indexed="8"/>
      <name val="Tahoma"/>
      <family val="2"/>
    </font>
    <font>
      <sz val="12"/>
      <color indexed="8"/>
      <name val="Tahoma"/>
      <family val="2"/>
    </font>
    <font>
      <b/>
      <sz val="12"/>
      <color indexed="8"/>
      <name val="Arial"/>
      <family val="2"/>
      <charset val="204"/>
    </font>
    <font>
      <sz val="12"/>
      <color indexed="10"/>
      <name val="Wingdings"/>
      <charset val="2"/>
    </font>
    <font>
      <sz val="12"/>
      <color indexed="62"/>
      <name val="Wingdings"/>
      <charset val="2"/>
    </font>
    <font>
      <b/>
      <sz val="12"/>
      <color indexed="8"/>
      <name val="Arial"/>
      <family val="2"/>
    </font>
    <font>
      <b/>
      <i/>
      <sz val="12"/>
      <color indexed="62"/>
      <name val="Arial"/>
      <family val="2"/>
    </font>
    <font>
      <i/>
      <sz val="12"/>
      <name val="Arial"/>
      <family val="2"/>
      <charset val="186"/>
    </font>
    <font>
      <i/>
      <sz val="12"/>
      <name val="Arial"/>
      <family val="2"/>
    </font>
    <font>
      <b/>
      <sz val="12"/>
      <name val="Arial Black"/>
      <family val="2"/>
      <charset val="186"/>
    </font>
    <font>
      <sz val="12"/>
      <name val="Arial Black"/>
      <family val="2"/>
      <charset val="186"/>
    </font>
    <font>
      <sz val="12"/>
      <color indexed="8"/>
      <name val="Arial"/>
      <family val="2"/>
      <charset val="186"/>
    </font>
    <font>
      <b/>
      <i/>
      <sz val="12"/>
      <name val="Arial"/>
      <family val="2"/>
      <charset val="186"/>
    </font>
    <font>
      <sz val="12"/>
      <color indexed="62"/>
      <name val="Tahoma"/>
      <family val="2"/>
      <charset val="186"/>
    </font>
    <font>
      <sz val="12"/>
      <color indexed="81"/>
      <name val="Tahoma"/>
      <family val="2"/>
      <charset val="186"/>
    </font>
    <font>
      <sz val="8"/>
      <color indexed="81"/>
      <name val="Tahoma"/>
      <family val="2"/>
      <charset val="204"/>
    </font>
    <font>
      <b/>
      <sz val="12"/>
      <color indexed="81"/>
      <name val="Tahoma"/>
      <family val="2"/>
      <charset val="186"/>
    </font>
    <font>
      <b/>
      <sz val="12"/>
      <color indexed="81"/>
      <name val="Arial"/>
      <family val="2"/>
      <charset val="186"/>
    </font>
    <font>
      <b/>
      <sz val="14"/>
      <color indexed="81"/>
      <name val="Arial Black"/>
      <family val="2"/>
      <charset val="186"/>
    </font>
    <font>
      <sz val="12"/>
      <color indexed="81"/>
      <name val="Arial Black"/>
      <family val="2"/>
      <charset val="186"/>
    </font>
    <font>
      <b/>
      <sz val="12"/>
      <color indexed="81"/>
      <name val="Arial Black"/>
      <family val="2"/>
      <charset val="186"/>
    </font>
    <font>
      <b/>
      <sz val="12"/>
      <color indexed="10"/>
      <name val="Arial"/>
      <family val="2"/>
    </font>
    <font>
      <sz val="14"/>
      <name val="Arial"/>
      <family val="2"/>
    </font>
    <font>
      <sz val="12"/>
      <color indexed="10"/>
      <name val="Arial"/>
      <family val="2"/>
    </font>
    <font>
      <sz val="12"/>
      <color rgb="FF0070C0"/>
      <name val="Arial"/>
      <family val="2"/>
      <charset val="204"/>
    </font>
    <font>
      <sz val="12"/>
      <color indexed="12"/>
      <name val="Arial"/>
      <family val="2"/>
    </font>
    <font>
      <b/>
      <i/>
      <sz val="12"/>
      <name val="Arial"/>
      <family val="2"/>
    </font>
    <font>
      <b/>
      <i/>
      <sz val="12"/>
      <color indexed="12"/>
      <name val="Arial"/>
      <family val="2"/>
    </font>
    <font>
      <sz val="14"/>
      <color rgb="FF0000FF"/>
      <name val="Arial"/>
      <family val="2"/>
      <charset val="204"/>
    </font>
    <font>
      <sz val="12"/>
      <color rgb="FF000000"/>
      <name val="Calibri"/>
      <family val="2"/>
      <charset val="204"/>
      <scheme val="minor"/>
    </font>
    <font>
      <sz val="11"/>
      <color rgb="FF000000"/>
      <name val="Arial"/>
      <family val="2"/>
      <charset val="204"/>
    </font>
    <font>
      <b/>
      <sz val="11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186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2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>
      <alignment horizontal="left" vertical="center"/>
    </xf>
    <xf numFmtId="0" fontId="11" fillId="0" borderId="0"/>
    <xf numFmtId="0" fontId="12" fillId="0" borderId="0"/>
    <xf numFmtId="0" fontId="13" fillId="0" borderId="0"/>
    <xf numFmtId="0" fontId="11" fillId="0" borderId="0"/>
    <xf numFmtId="0" fontId="14" fillId="0" borderId="0"/>
    <xf numFmtId="0" fontId="14" fillId="0" borderId="0"/>
    <xf numFmtId="0" fontId="15" fillId="0" borderId="0">
      <alignment vertical="center"/>
    </xf>
  </cellStyleXfs>
  <cellXfs count="187">
    <xf numFmtId="0" fontId="0" fillId="0" borderId="0" xfId="0"/>
    <xf numFmtId="0" fontId="1" fillId="0" borderId="0" xfId="1"/>
    <xf numFmtId="0" fontId="1" fillId="2" borderId="1" xfId="1" applyFill="1" applyBorder="1"/>
    <xf numFmtId="0" fontId="1" fillId="2" borderId="2" xfId="1" applyFill="1" applyBorder="1"/>
    <xf numFmtId="0" fontId="1" fillId="2" borderId="4" xfId="1" applyFill="1" applyBorder="1" applyAlignment="1">
      <alignment horizontal="center"/>
    </xf>
    <xf numFmtId="0" fontId="2" fillId="3" borderId="4" xfId="2" applyFill="1" applyBorder="1" applyAlignment="1">
      <alignment horizontal="right" wrapText="1"/>
    </xf>
    <xf numFmtId="165" fontId="2" fillId="3" borderId="4" xfId="2" applyNumberFormat="1" applyFill="1" applyBorder="1" applyAlignment="1">
      <alignment horizontal="right" wrapText="1"/>
    </xf>
    <xf numFmtId="9" fontId="2" fillId="3" borderId="4" xfId="2" applyNumberFormat="1" applyFill="1" applyBorder="1" applyAlignment="1">
      <alignment horizontal="right" wrapText="1"/>
    </xf>
    <xf numFmtId="0" fontId="4" fillId="0" borderId="4" xfId="0" applyFont="1" applyBorder="1"/>
    <xf numFmtId="0" fontId="5" fillId="0" borderId="4" xfId="0" applyFont="1" applyBorder="1"/>
    <xf numFmtId="0" fontId="0" fillId="5" borderId="4" xfId="0" applyFill="1" applyBorder="1" applyAlignment="1">
      <alignment horizontal="center"/>
    </xf>
    <xf numFmtId="0" fontId="1" fillId="5" borderId="6" xfId="1" applyFill="1" applyBorder="1"/>
    <xf numFmtId="0" fontId="1" fillId="5" borderId="7" xfId="1" applyFill="1" applyBorder="1"/>
    <xf numFmtId="0" fontId="1" fillId="5" borderId="8" xfId="1" applyFill="1" applyBorder="1"/>
    <xf numFmtId="0" fontId="1" fillId="6" borderId="5" xfId="1" applyFill="1" applyBorder="1"/>
    <xf numFmtId="0" fontId="1" fillId="2" borderId="4" xfId="1" applyFill="1" applyBorder="1"/>
    <xf numFmtId="0" fontId="1" fillId="5" borderId="4" xfId="1" applyFill="1" applyBorder="1"/>
    <xf numFmtId="0" fontId="1" fillId="6" borderId="4" xfId="1" applyFill="1" applyBorder="1"/>
    <xf numFmtId="0" fontId="2" fillId="3" borderId="4" xfId="2" applyFill="1" applyBorder="1" applyAlignment="1">
      <alignment horizontal="center" wrapText="1"/>
    </xf>
    <xf numFmtId="166" fontId="6" fillId="5" borderId="4" xfId="3" applyNumberFormat="1" applyFont="1" applyFill="1" applyBorder="1" applyAlignment="1">
      <alignment horizontal="center"/>
    </xf>
    <xf numFmtId="166" fontId="0" fillId="6" borderId="4" xfId="0" applyNumberFormat="1" applyFill="1" applyBorder="1" applyAlignment="1">
      <alignment horizontal="center"/>
    </xf>
    <xf numFmtId="0" fontId="7" fillId="5" borderId="4" xfId="0" applyFont="1" applyFill="1" applyBorder="1"/>
    <xf numFmtId="0" fontId="8" fillId="4" borderId="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 wrapText="1"/>
    </xf>
    <xf numFmtId="0" fontId="1" fillId="2" borderId="1" xfId="1" applyFill="1" applyBorder="1" applyAlignment="1">
      <alignment vertical="center"/>
    </xf>
    <xf numFmtId="0" fontId="1" fillId="2" borderId="2" xfId="1" applyFill="1" applyBorder="1" applyAlignment="1">
      <alignment vertical="center"/>
    </xf>
    <xf numFmtId="0" fontId="1" fillId="2" borderId="3" xfId="1" applyFill="1" applyBorder="1" applyAlignment="1">
      <alignment vertical="center"/>
    </xf>
    <xf numFmtId="0" fontId="0" fillId="2" borderId="2" xfId="1" applyFont="1" applyFill="1" applyBorder="1" applyAlignment="1">
      <alignment vertical="center" wrapText="1"/>
    </xf>
    <xf numFmtId="0" fontId="2" fillId="5" borderId="9" xfId="2" applyFill="1" applyBorder="1" applyAlignment="1">
      <alignment horizontal="right" wrapText="1"/>
    </xf>
    <xf numFmtId="165" fontId="2" fillId="3" borderId="10" xfId="2" applyNumberFormat="1" applyFill="1" applyBorder="1" applyAlignment="1">
      <alignment horizontal="right" wrapText="1"/>
    </xf>
    <xf numFmtId="0" fontId="0" fillId="6" borderId="10" xfId="1" applyFont="1" applyFill="1" applyBorder="1" applyAlignment="1">
      <alignment horizontal="center"/>
    </xf>
    <xf numFmtId="165" fontId="1" fillId="6" borderId="10" xfId="1" applyNumberFormat="1" applyFill="1" applyBorder="1"/>
    <xf numFmtId="165" fontId="1" fillId="6" borderId="11" xfId="1" applyNumberFormat="1" applyFill="1" applyBorder="1"/>
    <xf numFmtId="0" fontId="2" fillId="3" borderId="12" xfId="2" applyFill="1" applyBorder="1" applyAlignment="1">
      <alignment horizontal="right" wrapText="1"/>
    </xf>
    <xf numFmtId="0" fontId="2" fillId="3" borderId="13" xfId="2" applyFill="1" applyBorder="1" applyAlignment="1">
      <alignment horizontal="right" wrapText="1"/>
    </xf>
    <xf numFmtId="165" fontId="2" fillId="3" borderId="14" xfId="2" applyNumberFormat="1" applyFill="1" applyBorder="1" applyAlignment="1">
      <alignment horizontal="right" wrapText="1"/>
    </xf>
    <xf numFmtId="0" fontId="0" fillId="4" borderId="4" xfId="0" applyFill="1" applyBorder="1"/>
    <xf numFmtId="0" fontId="0" fillId="5" borderId="4" xfId="0" applyFill="1" applyBorder="1"/>
    <xf numFmtId="0" fontId="8" fillId="0" borderId="0" xfId="0" applyFont="1"/>
    <xf numFmtId="0" fontId="16" fillId="5" borderId="0" xfId="0" applyFont="1" applyFill="1"/>
    <xf numFmtId="0" fontId="0" fillId="5" borderId="0" xfId="0" applyFill="1"/>
    <xf numFmtId="0" fontId="17" fillId="5" borderId="0" xfId="0" applyFont="1" applyFill="1"/>
    <xf numFmtId="0" fontId="11" fillId="0" borderId="0" xfId="7" applyFont="1"/>
    <xf numFmtId="0" fontId="18" fillId="0" borderId="0" xfId="7" applyFont="1"/>
    <xf numFmtId="0" fontId="14" fillId="0" borderId="0" xfId="7" applyFont="1" applyAlignment="1">
      <alignment horizontal="left" indent="1"/>
    </xf>
    <xf numFmtId="167" fontId="11" fillId="7" borderId="0" xfId="7" applyNumberFormat="1" applyFont="1" applyFill="1"/>
    <xf numFmtId="167" fontId="19" fillId="0" borderId="0" xfId="7" applyNumberFormat="1" applyFont="1" applyAlignment="1">
      <alignment horizontal="left" vertical="center" wrapText="1" indent="1"/>
    </xf>
    <xf numFmtId="167" fontId="11" fillId="0" borderId="0" xfId="7" applyNumberFormat="1" applyFont="1" applyAlignment="1">
      <alignment horizontal="left" vertical="center" wrapText="1" indent="1"/>
    </xf>
    <xf numFmtId="0" fontId="21" fillId="0" borderId="0" xfId="7" applyFont="1" applyAlignment="1">
      <alignment vertical="center"/>
    </xf>
    <xf numFmtId="167" fontId="11" fillId="0" borderId="0" xfId="7" applyNumberFormat="1" applyFont="1"/>
    <xf numFmtId="0" fontId="11" fillId="0" borderId="0" xfId="7" applyFont="1" applyAlignment="1">
      <alignment horizontal="left" vertical="center" wrapText="1" indent="1"/>
    </xf>
    <xf numFmtId="0" fontId="22" fillId="0" borderId="0" xfId="7" applyFont="1" applyAlignment="1">
      <alignment horizontal="left" vertical="center" wrapText="1" indent="1"/>
    </xf>
    <xf numFmtId="0" fontId="21" fillId="0" borderId="0" xfId="7" applyFont="1" applyAlignment="1">
      <alignment horizontal="left" vertical="center" wrapText="1" indent="1"/>
    </xf>
    <xf numFmtId="0" fontId="26" fillId="0" borderId="0" xfId="7" applyFont="1" applyAlignment="1">
      <alignment horizontal="left" vertical="center" indent="1"/>
    </xf>
    <xf numFmtId="0" fontId="27" fillId="0" borderId="15" xfId="7" applyFont="1" applyBorder="1" applyAlignment="1">
      <alignment horizontal="left" indent="1"/>
    </xf>
    <xf numFmtId="0" fontId="11" fillId="0" borderId="16" xfId="7" applyFont="1" applyBorder="1" applyAlignment="1">
      <alignment horizontal="left" indent="1"/>
    </xf>
    <xf numFmtId="0" fontId="11" fillId="0" borderId="17" xfId="7" applyFont="1" applyBorder="1" applyAlignment="1">
      <alignment horizontal="left" indent="1"/>
    </xf>
    <xf numFmtId="0" fontId="28" fillId="0" borderId="18" xfId="7" applyFont="1" applyBorder="1" applyAlignment="1">
      <alignment horizontal="left" indent="2"/>
    </xf>
    <xf numFmtId="0" fontId="11" fillId="0" borderId="0" xfId="7" applyFont="1" applyAlignment="1">
      <alignment horizontal="left" indent="1"/>
    </xf>
    <xf numFmtId="0" fontId="11" fillId="0" borderId="19" xfId="7" applyFont="1" applyBorder="1" applyAlignment="1">
      <alignment horizontal="left" indent="1"/>
    </xf>
    <xf numFmtId="0" fontId="27" fillId="0" borderId="20" xfId="7" applyFont="1" applyBorder="1" applyAlignment="1">
      <alignment horizontal="left" indent="1"/>
    </xf>
    <xf numFmtId="0" fontId="11" fillId="0" borderId="21" xfId="7" applyFont="1" applyBorder="1" applyAlignment="1">
      <alignment horizontal="left" indent="1"/>
    </xf>
    <xf numFmtId="0" fontId="11" fillId="0" borderId="22" xfId="7" applyFont="1" applyBorder="1" applyAlignment="1">
      <alignment horizontal="left" indent="1"/>
    </xf>
    <xf numFmtId="0" fontId="30" fillId="0" borderId="0" xfId="7" applyFont="1"/>
    <xf numFmtId="0" fontId="31" fillId="0" borderId="0" xfId="7" applyFont="1"/>
    <xf numFmtId="0" fontId="32" fillId="0" borderId="15" xfId="7" applyFont="1" applyBorder="1" applyAlignment="1">
      <alignment horizontal="left" indent="1"/>
    </xf>
    <xf numFmtId="0" fontId="21" fillId="0" borderId="16" xfId="7" applyFont="1" applyBorder="1" applyAlignment="1">
      <alignment vertical="center"/>
    </xf>
    <xf numFmtId="0" fontId="11" fillId="0" borderId="17" xfId="7" applyFont="1" applyBorder="1"/>
    <xf numFmtId="0" fontId="34" fillId="0" borderId="18" xfId="7" applyFont="1" applyBorder="1" applyAlignment="1">
      <alignment horizontal="left" vertical="center" indent="2"/>
    </xf>
    <xf numFmtId="0" fontId="11" fillId="0" borderId="19" xfId="7" applyFont="1" applyBorder="1"/>
    <xf numFmtId="0" fontId="27" fillId="0" borderId="0" xfId="7" applyFont="1"/>
    <xf numFmtId="0" fontId="20" fillId="0" borderId="20" xfId="7" applyFont="1" applyBorder="1" applyAlignment="1">
      <alignment horizontal="left" vertical="center" indent="1"/>
    </xf>
    <xf numFmtId="0" fontId="21" fillId="0" borderId="21" xfId="7" applyFont="1" applyBorder="1" applyAlignment="1">
      <alignment vertical="center"/>
    </xf>
    <xf numFmtId="0" fontId="11" fillId="0" borderId="22" xfId="7" applyFont="1" applyBorder="1"/>
    <xf numFmtId="0" fontId="32" fillId="0" borderId="0" xfId="7" applyFont="1" applyAlignment="1">
      <alignment horizontal="left" vertical="center" indent="1"/>
    </xf>
    <xf numFmtId="0" fontId="32" fillId="0" borderId="15" xfId="7" applyFont="1" applyBorder="1" applyAlignment="1">
      <alignment horizontal="left" vertical="center" indent="1"/>
    </xf>
    <xf numFmtId="0" fontId="11" fillId="0" borderId="16" xfId="7" applyFont="1" applyBorder="1"/>
    <xf numFmtId="0" fontId="35" fillId="0" borderId="18" xfId="7" applyFont="1" applyBorder="1" applyAlignment="1">
      <alignment horizontal="left" vertical="center" indent="3"/>
    </xf>
    <xf numFmtId="0" fontId="21" fillId="0" borderId="19" xfId="7" applyFont="1" applyBorder="1" applyAlignment="1">
      <alignment vertical="center"/>
    </xf>
    <xf numFmtId="0" fontId="32" fillId="0" borderId="20" xfId="7" applyFont="1" applyBorder="1" applyAlignment="1">
      <alignment horizontal="left" vertical="center" indent="1"/>
    </xf>
    <xf numFmtId="0" fontId="21" fillId="0" borderId="22" xfId="7" applyFont="1" applyBorder="1" applyAlignment="1">
      <alignment vertical="center"/>
    </xf>
    <xf numFmtId="0" fontId="21" fillId="0" borderId="0" xfId="7" applyFont="1" applyAlignment="1">
      <alignment horizontal="left" indent="2"/>
    </xf>
    <xf numFmtId="0" fontId="20" fillId="0" borderId="0" xfId="7" applyFont="1" applyAlignment="1">
      <alignment horizontal="left" indent="2"/>
    </xf>
    <xf numFmtId="0" fontId="20" fillId="0" borderId="0" xfId="7" applyFont="1" applyAlignment="1">
      <alignment horizontal="left" vertical="center" indent="2"/>
    </xf>
    <xf numFmtId="0" fontId="21" fillId="0" borderId="0" xfId="7" applyFont="1" applyAlignment="1">
      <alignment horizontal="left" vertical="center" wrapText="1"/>
    </xf>
    <xf numFmtId="0" fontId="22" fillId="0" borderId="0" xfId="7" applyFont="1" applyAlignment="1">
      <alignment horizontal="left" vertical="center" indent="1"/>
    </xf>
    <xf numFmtId="0" fontId="20" fillId="0" borderId="0" xfId="7" applyFont="1" applyAlignment="1">
      <alignment horizontal="left" vertical="center" indent="1"/>
    </xf>
    <xf numFmtId="0" fontId="21" fillId="0" borderId="0" xfId="7" applyFont="1" applyAlignment="1">
      <alignment horizontal="left" vertical="center" indent="2"/>
    </xf>
    <xf numFmtId="0" fontId="11" fillId="8" borderId="0" xfId="7" applyFont="1" applyFill="1"/>
    <xf numFmtId="0" fontId="34" fillId="0" borderId="0" xfId="7" applyFont="1" applyAlignment="1">
      <alignment horizontal="left" vertical="center" indent="2"/>
    </xf>
    <xf numFmtId="167" fontId="34" fillId="0" borderId="0" xfId="7" applyNumberFormat="1" applyFont="1" applyAlignment="1">
      <alignment horizontal="left" vertical="center" indent="2"/>
    </xf>
    <xf numFmtId="167" fontId="21" fillId="0" borderId="0" xfId="7" applyNumberFormat="1" applyFont="1" applyAlignment="1">
      <alignment horizontal="left" vertical="center" indent="3"/>
    </xf>
    <xf numFmtId="167" fontId="21" fillId="0" borderId="0" xfId="7" applyNumberFormat="1" applyFont="1" applyAlignment="1">
      <alignment horizontal="left" vertical="center" indent="1"/>
    </xf>
    <xf numFmtId="167" fontId="21" fillId="0" borderId="0" xfId="7" applyNumberFormat="1" applyFont="1"/>
    <xf numFmtId="167" fontId="20" fillId="0" borderId="0" xfId="7" applyNumberFormat="1" applyFont="1" applyAlignment="1">
      <alignment horizontal="left" vertical="center" indent="1"/>
    </xf>
    <xf numFmtId="0" fontId="22" fillId="0" borderId="0" xfId="7" applyFont="1" applyAlignment="1">
      <alignment horizontal="left" vertical="center" indent="3"/>
    </xf>
    <xf numFmtId="0" fontId="39" fillId="0" borderId="0" xfId="7" applyFont="1" applyAlignment="1">
      <alignment horizontal="left" vertical="center" indent="4"/>
    </xf>
    <xf numFmtId="167" fontId="22" fillId="0" borderId="0" xfId="7" applyNumberFormat="1" applyFont="1" applyAlignment="1">
      <alignment horizontal="left" vertical="center" indent="3"/>
    </xf>
    <xf numFmtId="167" fontId="9" fillId="0" borderId="0" xfId="4" applyNumberFormat="1" applyAlignment="1" applyProtection="1"/>
    <xf numFmtId="167" fontId="14" fillId="0" borderId="0" xfId="9" applyNumberFormat="1" applyFont="1"/>
    <xf numFmtId="0" fontId="18" fillId="0" borderId="0" xfId="9" applyFont="1" applyAlignment="1">
      <alignment horizontal="left"/>
    </xf>
    <xf numFmtId="0" fontId="14" fillId="0" borderId="0" xfId="9" applyFont="1"/>
    <xf numFmtId="0" fontId="18" fillId="0" borderId="0" xfId="9" applyFont="1"/>
    <xf numFmtId="0" fontId="14" fillId="0" borderId="0" xfId="9" applyFont="1" applyAlignment="1">
      <alignment horizontal="left" indent="1"/>
    </xf>
    <xf numFmtId="0" fontId="26" fillId="0" borderId="0" xfId="9" applyFont="1"/>
    <xf numFmtId="0" fontId="18" fillId="0" borderId="0" xfId="9" applyFont="1" applyAlignment="1">
      <alignment horizontal="left" indent="1"/>
    </xf>
    <xf numFmtId="0" fontId="26" fillId="0" borderId="0" xfId="9" applyFont="1" applyAlignment="1">
      <alignment horizontal="left" indent="1"/>
    </xf>
    <xf numFmtId="0" fontId="18" fillId="0" borderId="0" xfId="9" applyFont="1" applyAlignment="1">
      <alignment horizontal="left" indent="2"/>
    </xf>
    <xf numFmtId="0" fontId="14" fillId="0" borderId="0" xfId="9" applyFont="1" applyAlignment="1">
      <alignment horizontal="left" indent="3"/>
    </xf>
    <xf numFmtId="0" fontId="9" fillId="0" borderId="0" xfId="4" applyAlignment="1" applyProtection="1"/>
    <xf numFmtId="0" fontId="48" fillId="0" borderId="0" xfId="9" applyFont="1" applyAlignment="1">
      <alignment horizontal="left" indent="1"/>
    </xf>
    <xf numFmtId="0" fontId="14" fillId="0" borderId="0" xfId="9" applyFont="1" applyAlignment="1">
      <alignment horizontal="left" indent="2"/>
    </xf>
    <xf numFmtId="0" fontId="20" fillId="0" borderId="0" xfId="7" applyFont="1" applyAlignment="1">
      <alignment horizontal="left" vertical="center" wrapText="1"/>
    </xf>
    <xf numFmtId="0" fontId="11" fillId="0" borderId="0" xfId="7" applyFont="1" applyAlignment="1">
      <alignment vertical="center"/>
    </xf>
    <xf numFmtId="0" fontId="21" fillId="0" borderId="0" xfId="7" applyFont="1" applyAlignment="1">
      <alignment horizontal="left" indent="1"/>
    </xf>
    <xf numFmtId="0" fontId="20" fillId="0" borderId="0" xfId="7" applyFont="1" applyAlignment="1">
      <alignment horizontal="left" indent="1"/>
    </xf>
    <xf numFmtId="0" fontId="51" fillId="0" borderId="0" xfId="7" applyFont="1" applyAlignment="1">
      <alignment horizontal="left" indent="1"/>
    </xf>
    <xf numFmtId="0" fontId="18" fillId="0" borderId="0" xfId="7" applyFont="1" applyAlignment="1">
      <alignment horizontal="left" indent="1"/>
    </xf>
    <xf numFmtId="0" fontId="14" fillId="0" borderId="0" xfId="7" applyFont="1" applyAlignment="1">
      <alignment horizontal="left" indent="2"/>
    </xf>
    <xf numFmtId="0" fontId="18" fillId="0" borderId="0" xfId="7" applyFont="1" applyAlignment="1">
      <alignment horizontal="left" indent="2"/>
    </xf>
    <xf numFmtId="0" fontId="14" fillId="0" borderId="0" xfId="8" applyFont="1"/>
    <xf numFmtId="0" fontId="18" fillId="0" borderId="0" xfId="8" applyFont="1" applyAlignment="1">
      <alignment vertical="center"/>
    </xf>
    <xf numFmtId="0" fontId="14" fillId="0" borderId="0" xfId="8" applyFont="1" applyAlignment="1">
      <alignment vertical="center"/>
    </xf>
    <xf numFmtId="0" fontId="26" fillId="0" borderId="0" xfId="10" applyFont="1" applyAlignment="1">
      <alignment horizontal="left" vertical="center"/>
    </xf>
    <xf numFmtId="0" fontId="14" fillId="0" borderId="0" xfId="10" applyAlignment="1">
      <alignment horizontal="left" vertical="center"/>
    </xf>
    <xf numFmtId="0" fontId="18" fillId="0" borderId="15" xfId="8" applyFont="1" applyBorder="1" applyAlignment="1">
      <alignment horizontal="left" vertical="center" indent="1"/>
    </xf>
    <xf numFmtId="0" fontId="14" fillId="0" borderId="16" xfId="8" applyFont="1" applyBorder="1" applyAlignment="1">
      <alignment vertical="center"/>
    </xf>
    <xf numFmtId="0" fontId="14" fillId="0" borderId="17" xfId="8" applyFont="1" applyBorder="1" applyAlignment="1">
      <alignment vertical="center"/>
    </xf>
    <xf numFmtId="0" fontId="18" fillId="9" borderId="23" xfId="10" applyFont="1" applyFill="1" applyBorder="1" applyAlignment="1">
      <alignment horizontal="left" vertical="center" indent="2"/>
    </xf>
    <xf numFmtId="0" fontId="14" fillId="9" borderId="24" xfId="10" applyFill="1" applyBorder="1" applyAlignment="1">
      <alignment horizontal="left" vertical="center"/>
    </xf>
    <xf numFmtId="0" fontId="14" fillId="9" borderId="25" xfId="10" applyFill="1" applyBorder="1" applyAlignment="1">
      <alignment horizontal="left" vertical="center"/>
    </xf>
    <xf numFmtId="0" fontId="14" fillId="0" borderId="18" xfId="8" applyFont="1" applyBorder="1" applyAlignment="1">
      <alignment horizontal="left" vertical="center" indent="2"/>
    </xf>
    <xf numFmtId="0" fontId="14" fillId="0" borderId="19" xfId="8" applyFont="1" applyBorder="1" applyAlignment="1">
      <alignment vertical="center"/>
    </xf>
    <xf numFmtId="0" fontId="14" fillId="0" borderId="0" xfId="10" applyAlignment="1">
      <alignment horizontal="left" vertical="center" indent="2"/>
    </xf>
    <xf numFmtId="0" fontId="18" fillId="0" borderId="15" xfId="10" applyFont="1" applyBorder="1" applyAlignment="1">
      <alignment horizontal="left" vertical="center" indent="2"/>
    </xf>
    <xf numFmtId="0" fontId="14" fillId="0" borderId="16" xfId="10" applyBorder="1" applyAlignment="1">
      <alignment horizontal="left" vertical="center"/>
    </xf>
    <xf numFmtId="0" fontId="14" fillId="0" borderId="17" xfId="10" applyBorder="1" applyAlignment="1">
      <alignment horizontal="left" vertical="center"/>
    </xf>
    <xf numFmtId="0" fontId="18" fillId="0" borderId="20" xfId="8" applyFont="1" applyBorder="1" applyAlignment="1">
      <alignment horizontal="left" vertical="center" indent="1"/>
    </xf>
    <xf numFmtId="0" fontId="14" fillId="0" borderId="21" xfId="8" applyFont="1" applyBorder="1" applyAlignment="1">
      <alignment vertical="center"/>
    </xf>
    <xf numFmtId="0" fontId="14" fillId="0" borderId="22" xfId="8" applyFont="1" applyBorder="1" applyAlignment="1">
      <alignment vertical="center"/>
    </xf>
    <xf numFmtId="0" fontId="53" fillId="0" borderId="18" xfId="10" applyFont="1" applyBorder="1" applyAlignment="1">
      <alignment horizontal="left" vertical="center" indent="3"/>
    </xf>
    <xf numFmtId="0" fontId="14" fillId="0" borderId="19" xfId="10" applyBorder="1" applyAlignment="1">
      <alignment horizontal="left" vertical="center"/>
    </xf>
    <xf numFmtId="0" fontId="18" fillId="0" borderId="0" xfId="8" applyFont="1" applyAlignment="1">
      <alignment horizontal="left" vertical="center" indent="1"/>
    </xf>
    <xf numFmtId="0" fontId="14" fillId="0" borderId="18" xfId="10" applyBorder="1" applyAlignment="1">
      <alignment horizontal="left" vertical="center" indent="2"/>
    </xf>
    <xf numFmtId="0" fontId="18" fillId="0" borderId="20" xfId="10" applyFont="1" applyBorder="1" applyAlignment="1">
      <alignment horizontal="left" vertical="center" indent="2"/>
    </xf>
    <xf numFmtId="0" fontId="35" fillId="0" borderId="21" xfId="10" applyFont="1" applyBorder="1" applyAlignment="1">
      <alignment horizontal="left" vertical="center"/>
    </xf>
    <xf numFmtId="0" fontId="14" fillId="0" borderId="22" xfId="10" applyBorder="1" applyAlignment="1">
      <alignment horizontal="left" vertical="center"/>
    </xf>
    <xf numFmtId="0" fontId="49" fillId="0" borderId="0" xfId="10" applyFont="1"/>
    <xf numFmtId="0" fontId="22" fillId="0" borderId="0" xfId="10" applyFont="1" applyAlignment="1">
      <alignment horizontal="left" vertical="center" indent="2"/>
    </xf>
    <xf numFmtId="0" fontId="49" fillId="0" borderId="0" xfId="10" applyFont="1" applyAlignment="1">
      <alignment vertical="center"/>
    </xf>
    <xf numFmtId="0" fontId="18" fillId="0" borderId="0" xfId="11" applyFont="1"/>
    <xf numFmtId="0" fontId="14" fillId="0" borderId="0" xfId="11"/>
    <xf numFmtId="0" fontId="14" fillId="0" borderId="0" xfId="6" applyFont="1"/>
    <xf numFmtId="0" fontId="14" fillId="0" borderId="15" xfId="11" applyBorder="1" applyAlignment="1">
      <alignment horizontal="left" vertical="center" indent="1"/>
    </xf>
    <xf numFmtId="0" fontId="14" fillId="0" borderId="16" xfId="11" applyBorder="1"/>
    <xf numFmtId="0" fontId="14" fillId="0" borderId="17" xfId="11" applyBorder="1"/>
    <xf numFmtId="0" fontId="14" fillId="0" borderId="18" xfId="11" applyBorder="1" applyAlignment="1">
      <alignment horizontal="left" vertical="center" indent="2"/>
    </xf>
    <xf numFmtId="0" fontId="14" fillId="0" borderId="19" xfId="11" applyBorder="1"/>
    <xf numFmtId="0" fontId="14" fillId="0" borderId="18" xfId="11" applyBorder="1" applyAlignment="1">
      <alignment vertical="center"/>
    </xf>
    <xf numFmtId="0" fontId="26" fillId="0" borderId="18" xfId="11" applyFont="1" applyBorder="1" applyAlignment="1">
      <alignment horizontal="left" vertical="center" indent="2"/>
    </xf>
    <xf numFmtId="0" fontId="18" fillId="0" borderId="20" xfId="11" applyFont="1" applyBorder="1" applyAlignment="1">
      <alignment horizontal="left" vertical="center" indent="2"/>
    </xf>
    <xf numFmtId="0" fontId="14" fillId="0" borderId="21" xfId="11" applyBorder="1"/>
    <xf numFmtId="0" fontId="14" fillId="0" borderId="22" xfId="11" applyBorder="1"/>
    <xf numFmtId="0" fontId="55" fillId="0" borderId="0" xfId="0" applyFont="1" applyAlignment="1">
      <alignment horizontal="left" vertical="center" readingOrder="1"/>
    </xf>
    <xf numFmtId="0" fontId="7" fillId="0" borderId="0" xfId="0" applyFont="1"/>
    <xf numFmtId="0" fontId="56" fillId="0" borderId="0" xfId="0" applyFont="1"/>
    <xf numFmtId="0" fontId="57" fillId="0" borderId="0" xfId="0" applyFont="1" applyAlignment="1">
      <alignment horizontal="left" vertical="center" readingOrder="1"/>
    </xf>
    <xf numFmtId="0" fontId="60" fillId="0" borderId="0" xfId="0" applyFont="1"/>
    <xf numFmtId="0" fontId="61" fillId="0" borderId="0" xfId="0" applyFont="1"/>
    <xf numFmtId="0" fontId="0" fillId="2" borderId="4" xfId="1" applyFont="1" applyFill="1" applyBorder="1"/>
    <xf numFmtId="167" fontId="22" fillId="0" borderId="0" xfId="7" applyNumberFormat="1" applyFont="1" applyAlignment="1">
      <alignment horizontal="center" vertical="top" wrapText="1"/>
    </xf>
    <xf numFmtId="167" fontId="21" fillId="0" borderId="0" xfId="7" applyNumberFormat="1" applyFont="1" applyAlignment="1">
      <alignment horizontal="center" vertical="top" wrapText="1"/>
    </xf>
    <xf numFmtId="0" fontId="19" fillId="0" borderId="0" xfId="7" applyFont="1" applyAlignment="1">
      <alignment horizontal="left" vertical="center" wrapText="1" indent="1"/>
    </xf>
    <xf numFmtId="0" fontId="11" fillId="0" borderId="0" xfId="7" applyFont="1" applyAlignment="1">
      <alignment horizontal="left" vertical="center" wrapText="1" indent="1"/>
    </xf>
    <xf numFmtId="0" fontId="22" fillId="0" borderId="0" xfId="7" applyFont="1" applyAlignment="1">
      <alignment horizontal="left" vertical="center" wrapText="1" indent="1"/>
    </xf>
    <xf numFmtId="0" fontId="24" fillId="0" borderId="0" xfId="7" applyFont="1" applyAlignment="1">
      <alignment horizontal="left" vertical="center" wrapText="1" indent="1"/>
    </xf>
    <xf numFmtId="0" fontId="11" fillId="0" borderId="0" xfId="7" applyFont="1" applyAlignment="1">
      <alignment horizontal="left" vertical="center" indent="1"/>
    </xf>
    <xf numFmtId="0" fontId="23" fillId="0" borderId="0" xfId="7" applyFont="1" applyAlignment="1">
      <alignment horizontal="left" vertical="center" wrapText="1" indent="1"/>
    </xf>
    <xf numFmtId="0" fontId="21" fillId="0" borderId="0" xfId="7" applyFont="1" applyAlignment="1">
      <alignment horizontal="left" vertical="center" wrapText="1" indent="1"/>
    </xf>
    <xf numFmtId="0" fontId="20" fillId="0" borderId="0" xfId="7" applyFont="1" applyAlignment="1">
      <alignment horizontal="left" vertical="center" wrapText="1" indent="2"/>
    </xf>
    <xf numFmtId="0" fontId="11" fillId="0" borderId="0" xfId="7" applyFont="1" applyAlignment="1">
      <alignment vertical="center" wrapText="1"/>
    </xf>
    <xf numFmtId="0" fontId="11" fillId="0" borderId="0" xfId="7" applyFont="1" applyAlignment="1">
      <alignment wrapText="1"/>
    </xf>
    <xf numFmtId="167" fontId="21" fillId="0" borderId="0" xfId="7" applyNumberFormat="1" applyFont="1" applyAlignment="1">
      <alignment horizontal="left" vertical="center" wrapText="1" indent="1"/>
    </xf>
    <xf numFmtId="167" fontId="11" fillId="0" borderId="0" xfId="7" applyNumberFormat="1" applyFont="1" applyAlignment="1">
      <alignment vertical="center" wrapText="1"/>
    </xf>
    <xf numFmtId="0" fontId="23" fillId="0" borderId="0" xfId="7" applyFont="1" applyAlignment="1">
      <alignment horizontal="left" vertical="center" wrapText="1" indent="3"/>
    </xf>
    <xf numFmtId="0" fontId="14" fillId="0" borderId="0" xfId="9" applyFont="1" applyAlignment="1">
      <alignment horizontal="left" wrapText="1" indent="3"/>
    </xf>
    <xf numFmtId="0" fontId="14" fillId="0" borderId="0" xfId="11" applyAlignment="1">
      <alignment wrapText="1"/>
    </xf>
  </cellXfs>
  <cellStyles count="13">
    <cellStyle name="Hyperlink_I1_Loeng_6" xfId="4" xr:uid="{00000000-0005-0000-0000-000001000000}"/>
    <cellStyle name="Kesk" xfId="5" xr:uid="{00000000-0005-0000-0000-000002000000}"/>
    <cellStyle name="Normaallaad" xfId="0" builtinId="0"/>
    <cellStyle name="Normal 2" xfId="1" xr:uid="{00000000-0005-0000-0000-000004000000}"/>
    <cellStyle name="Normal 3" xfId="6" xr:uid="{00000000-0005-0000-0000-000005000000}"/>
    <cellStyle name="Normal 4" xfId="7" xr:uid="{00000000-0005-0000-0000-000006000000}"/>
    <cellStyle name="Normal_Harjutus_2_1_2" xfId="8" xr:uid="{00000000-0005-0000-0000-000007000000}"/>
    <cellStyle name="Normal_harjutus8" xfId="2" xr:uid="{00000000-0005-0000-0000-000008000000}"/>
    <cellStyle name="Normal_I1_Loeng_6" xfId="9" xr:uid="{00000000-0005-0000-0000-000009000000}"/>
    <cellStyle name="Normal_Loeng_8_4" xfId="10" xr:uid="{00000000-0005-0000-0000-00000A000000}"/>
    <cellStyle name="Normal_LOENG81" xfId="11" xr:uid="{00000000-0005-0000-0000-00000B000000}"/>
    <cellStyle name="Suur" xfId="12" xr:uid="{00000000-0005-0000-0000-00000C000000}"/>
    <cellStyle name="Valuuta" xfId="3" builtinId="4"/>
  </cellStyles>
  <dxfs count="0"/>
  <tableStyles count="0" defaultTableStyle="TableStyleMedium9" defaultPivotStyle="PivotStyleLight16"/>
  <colors>
    <mruColors>
      <color rgb="FFFFFFCC"/>
      <color rgb="FFFFFF99"/>
      <color rgb="FFCCEC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Y_1!$D$6</c:f>
              <c:strCache>
                <c:ptCount val="1"/>
                <c:pt idx="0">
                  <c:v>Hind käibemaksuta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multiLvlStrRef>
              <c:f>Y_1!$A$7:$C$17</c:f>
              <c:multiLvlStrCache>
                <c:ptCount val="11"/>
                <c:lvl>
                  <c:pt idx="0">
                    <c:v>kg</c:v>
                  </c:pt>
                  <c:pt idx="1">
                    <c:v>kg</c:v>
                  </c:pt>
                  <c:pt idx="2">
                    <c:v>kg</c:v>
                  </c:pt>
                  <c:pt idx="3">
                    <c:v>kg</c:v>
                  </c:pt>
                  <c:pt idx="4">
                    <c:v>kg</c:v>
                  </c:pt>
                  <c:pt idx="5">
                    <c:v>kg</c:v>
                  </c:pt>
                  <c:pt idx="6">
                    <c:v>kg</c:v>
                  </c:pt>
                  <c:pt idx="7">
                    <c:v>kg</c:v>
                  </c:pt>
                  <c:pt idx="8">
                    <c:v>kg</c:v>
                  </c:pt>
                  <c:pt idx="9">
                    <c:v>kg</c:v>
                  </c:pt>
                  <c:pt idx="10">
                    <c:v>kg</c:v>
                  </c:pt>
                </c:lvl>
                <c:lvl>
                  <c:pt idx="0">
                    <c:v> € 3,19 </c:v>
                  </c:pt>
                  <c:pt idx="1">
                    <c:v> € 3,77 </c:v>
                  </c:pt>
                  <c:pt idx="2">
                    <c:v> € 3,19 </c:v>
                  </c:pt>
                  <c:pt idx="3">
                    <c:v> € 2,87 </c:v>
                  </c:pt>
                  <c:pt idx="4">
                    <c:v> € 6,99 </c:v>
                  </c:pt>
                  <c:pt idx="5">
                    <c:v> € 4,60 </c:v>
                  </c:pt>
                  <c:pt idx="6">
                    <c:v> € 4,41 </c:v>
                  </c:pt>
                  <c:pt idx="7">
                    <c:v> € 2,74 </c:v>
                  </c:pt>
                  <c:pt idx="8">
                    <c:v> € 6,97 </c:v>
                  </c:pt>
                  <c:pt idx="9">
                    <c:v> € 8,31 </c:v>
                  </c:pt>
                  <c:pt idx="10">
                    <c:v> € 7,61 </c:v>
                  </c:pt>
                </c:lvl>
                <c:lvl>
                  <c:pt idx="0">
                    <c:v>Kartuli-singisalat</c:v>
                  </c:pt>
                  <c:pt idx="1">
                    <c:v>Sünnipäevasalat</c:v>
                  </c:pt>
                  <c:pt idx="2">
                    <c:v>Vitamiinisalat</c:v>
                  </c:pt>
                  <c:pt idx="3">
                    <c:v>Vinegrett</c:v>
                  </c:pt>
                  <c:pt idx="4">
                    <c:v>Puuviljasalat</c:v>
                  </c:pt>
                  <c:pt idx="5">
                    <c:v>Oa-singisalat</c:v>
                  </c:pt>
                  <c:pt idx="6">
                    <c:v>Kasukas</c:v>
                  </c:pt>
                  <c:pt idx="7">
                    <c:v>Krabimaitseline riisisalat</c:v>
                  </c:pt>
                  <c:pt idx="8">
                    <c:v>Kreeka salat</c:v>
                  </c:pt>
                  <c:pt idx="9">
                    <c:v>Caesari salat</c:v>
                  </c:pt>
                  <c:pt idx="10">
                    <c:v>Krevetisalat</c:v>
                  </c:pt>
                </c:lvl>
              </c:multiLvlStrCache>
            </c:multiLvlStrRef>
          </c:xVal>
          <c:yVal>
            <c:numRef>
              <c:f>Y_1!$D$7:$D$17</c:f>
              <c:numCache>
                <c:formatCode>General</c:formatCode>
                <c:ptCount val="11"/>
                <c:pt idx="0">
                  <c:v>2.6583333333333332</c:v>
                </c:pt>
                <c:pt idx="1">
                  <c:v>3.1416666666666666</c:v>
                </c:pt>
                <c:pt idx="2">
                  <c:v>2.6583333333333332</c:v>
                </c:pt>
                <c:pt idx="3">
                  <c:v>2.3916666666666671</c:v>
                </c:pt>
                <c:pt idx="4">
                  <c:v>5.8250000000000002</c:v>
                </c:pt>
                <c:pt idx="5">
                  <c:v>3.833333333333333</c:v>
                </c:pt>
                <c:pt idx="6">
                  <c:v>3.6750000000000003</c:v>
                </c:pt>
                <c:pt idx="7">
                  <c:v>2.2833333333333337</c:v>
                </c:pt>
                <c:pt idx="8">
                  <c:v>5.8083333333333336</c:v>
                </c:pt>
                <c:pt idx="9">
                  <c:v>6.9250000000000007</c:v>
                </c:pt>
                <c:pt idx="10">
                  <c:v>6.3416666666666668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D-44C8-87AA-7765098296E6}"/>
            </c:ext>
          </c:extLst>
        </c:ser>
        <c:ser>
          <c:idx val="1"/>
          <c:order val="1"/>
          <c:tx>
            <c:strRef>
              <c:f>Y_1!$E$6</c:f>
              <c:strCache>
                <c:ptCount val="1"/>
                <c:pt idx="0">
                  <c:v>Käibemaks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multiLvlStrRef>
              <c:f>Y_1!$A$7:$C$17</c:f>
              <c:multiLvlStrCache>
                <c:ptCount val="11"/>
                <c:lvl>
                  <c:pt idx="0">
                    <c:v>kg</c:v>
                  </c:pt>
                  <c:pt idx="1">
                    <c:v>kg</c:v>
                  </c:pt>
                  <c:pt idx="2">
                    <c:v>kg</c:v>
                  </c:pt>
                  <c:pt idx="3">
                    <c:v>kg</c:v>
                  </c:pt>
                  <c:pt idx="4">
                    <c:v>kg</c:v>
                  </c:pt>
                  <c:pt idx="5">
                    <c:v>kg</c:v>
                  </c:pt>
                  <c:pt idx="6">
                    <c:v>kg</c:v>
                  </c:pt>
                  <c:pt idx="7">
                    <c:v>kg</c:v>
                  </c:pt>
                  <c:pt idx="8">
                    <c:v>kg</c:v>
                  </c:pt>
                  <c:pt idx="9">
                    <c:v>kg</c:v>
                  </c:pt>
                  <c:pt idx="10">
                    <c:v>kg</c:v>
                  </c:pt>
                </c:lvl>
                <c:lvl>
                  <c:pt idx="0">
                    <c:v> € 3,19 </c:v>
                  </c:pt>
                  <c:pt idx="1">
                    <c:v> € 3,77 </c:v>
                  </c:pt>
                  <c:pt idx="2">
                    <c:v> € 3,19 </c:v>
                  </c:pt>
                  <c:pt idx="3">
                    <c:v> € 2,87 </c:v>
                  </c:pt>
                  <c:pt idx="4">
                    <c:v> € 6,99 </c:v>
                  </c:pt>
                  <c:pt idx="5">
                    <c:v> € 4,60 </c:v>
                  </c:pt>
                  <c:pt idx="6">
                    <c:v> € 4,41 </c:v>
                  </c:pt>
                  <c:pt idx="7">
                    <c:v> € 2,74 </c:v>
                  </c:pt>
                  <c:pt idx="8">
                    <c:v> € 6,97 </c:v>
                  </c:pt>
                  <c:pt idx="9">
                    <c:v> € 8,31 </c:v>
                  </c:pt>
                  <c:pt idx="10">
                    <c:v> € 7,61 </c:v>
                  </c:pt>
                </c:lvl>
                <c:lvl>
                  <c:pt idx="0">
                    <c:v>Kartuli-singisalat</c:v>
                  </c:pt>
                  <c:pt idx="1">
                    <c:v>Sünnipäevasalat</c:v>
                  </c:pt>
                  <c:pt idx="2">
                    <c:v>Vitamiinisalat</c:v>
                  </c:pt>
                  <c:pt idx="3">
                    <c:v>Vinegrett</c:v>
                  </c:pt>
                  <c:pt idx="4">
                    <c:v>Puuviljasalat</c:v>
                  </c:pt>
                  <c:pt idx="5">
                    <c:v>Oa-singisalat</c:v>
                  </c:pt>
                  <c:pt idx="6">
                    <c:v>Kasukas</c:v>
                  </c:pt>
                  <c:pt idx="7">
                    <c:v>Krabimaitseline riisisalat</c:v>
                  </c:pt>
                  <c:pt idx="8">
                    <c:v>Kreeka salat</c:v>
                  </c:pt>
                  <c:pt idx="9">
                    <c:v>Caesari salat</c:v>
                  </c:pt>
                  <c:pt idx="10">
                    <c:v>Krevetisalat</c:v>
                  </c:pt>
                </c:lvl>
              </c:multiLvlStrCache>
            </c:multiLvlStrRef>
          </c:xVal>
          <c:yVal>
            <c:numRef>
              <c:f>Y_1!$E$7:$E$17</c:f>
              <c:numCache>
                <c:formatCode>_-[$€-2]\ * #\ ##0.00_-;\-[$€-2]\ * #\ ##0.00_-;_-[$€-2]\ * "-"??_-;_-@_-</c:formatCode>
                <c:ptCount val="11"/>
                <c:pt idx="0">
                  <c:v>0.53166666666666673</c:v>
                </c:pt>
                <c:pt idx="1">
                  <c:v>0.62833333333333341</c:v>
                </c:pt>
                <c:pt idx="2">
                  <c:v>0.53166666666666673</c:v>
                </c:pt>
                <c:pt idx="3">
                  <c:v>0.47833333333333306</c:v>
                </c:pt>
                <c:pt idx="4">
                  <c:v>1.165</c:v>
                </c:pt>
                <c:pt idx="5">
                  <c:v>0.76666666666666661</c:v>
                </c:pt>
                <c:pt idx="6">
                  <c:v>0.73499999999999988</c:v>
                </c:pt>
                <c:pt idx="7">
                  <c:v>0.45666666666666655</c:v>
                </c:pt>
                <c:pt idx="8">
                  <c:v>1.1616666666666662</c:v>
                </c:pt>
                <c:pt idx="9">
                  <c:v>1.3849999999999998</c:v>
                </c:pt>
                <c:pt idx="10">
                  <c:v>1.2683333333333335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1D-44C8-87AA-776509829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839871"/>
        <c:axId val="1236319471"/>
      </c:scatterChart>
      <c:valAx>
        <c:axId val="124183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236319471"/>
        <c:crosses val="autoZero"/>
        <c:crossBetween val="midCat"/>
      </c:valAx>
      <c:valAx>
        <c:axId val="123631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24183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Y_2!$E$6</c:f>
              <c:strCache>
                <c:ptCount val="1"/>
                <c:pt idx="0">
                  <c:v>Preemia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multiLvlStrRef>
              <c:f>Y_2!$B$7:$D$21</c:f>
              <c:multiLvlStrCache>
                <c:ptCount val="15"/>
                <c:lvl>
                  <c:pt idx="0">
                    <c:v>jah</c:v>
                  </c:pt>
                  <c:pt idx="1">
                    <c:v>ei</c:v>
                  </c:pt>
                  <c:pt idx="2">
                    <c:v>ei</c:v>
                  </c:pt>
                  <c:pt idx="3">
                    <c:v>jah</c:v>
                  </c:pt>
                  <c:pt idx="4">
                    <c:v>ei</c:v>
                  </c:pt>
                  <c:pt idx="5">
                    <c:v>jah</c:v>
                  </c:pt>
                  <c:pt idx="6">
                    <c:v>jah</c:v>
                  </c:pt>
                  <c:pt idx="7">
                    <c:v>ei</c:v>
                  </c:pt>
                  <c:pt idx="8">
                    <c:v>jah</c:v>
                  </c:pt>
                  <c:pt idx="9">
                    <c:v>ei</c:v>
                  </c:pt>
                  <c:pt idx="10">
                    <c:v>jah</c:v>
                  </c:pt>
                  <c:pt idx="11">
                    <c:v>jah</c:v>
                  </c:pt>
                  <c:pt idx="12">
                    <c:v>jah</c:v>
                  </c:pt>
                  <c:pt idx="13">
                    <c:v>ei</c:v>
                  </c:pt>
                  <c:pt idx="14">
                    <c:v>ei</c:v>
                  </c:pt>
                </c:lvl>
                <c:lvl>
                  <c:pt idx="0">
                    <c:v>1 500 €</c:v>
                  </c:pt>
                  <c:pt idx="1">
                    <c:v>1 250 €</c:v>
                  </c:pt>
                  <c:pt idx="2">
                    <c:v>5 000 €</c:v>
                  </c:pt>
                  <c:pt idx="3">
                    <c:v>1 000 €</c:v>
                  </c:pt>
                  <c:pt idx="4">
                    <c:v>3 500 €</c:v>
                  </c:pt>
                  <c:pt idx="5">
                    <c:v>4 200 €</c:v>
                  </c:pt>
                  <c:pt idx="6">
                    <c:v>1 250 €</c:v>
                  </c:pt>
                  <c:pt idx="7">
                    <c:v>1 550 €</c:v>
                  </c:pt>
                  <c:pt idx="8">
                    <c:v>2 300 €</c:v>
                  </c:pt>
                  <c:pt idx="9">
                    <c:v>1 000 €</c:v>
                  </c:pt>
                  <c:pt idx="10">
                    <c:v>1 350 €</c:v>
                  </c:pt>
                  <c:pt idx="11">
                    <c:v>3 200 €</c:v>
                  </c:pt>
                  <c:pt idx="12">
                    <c:v>1 050 €</c:v>
                  </c:pt>
                  <c:pt idx="13">
                    <c:v>2 150 €</c:v>
                  </c:pt>
                  <c:pt idx="14">
                    <c:v>1 450 €</c:v>
                  </c:pt>
                </c:lvl>
                <c:lvl>
                  <c:pt idx="0">
                    <c:v>Alan Pent</c:v>
                  </c:pt>
                  <c:pt idx="1">
                    <c:v>Anton Smirnov</c:v>
                  </c:pt>
                  <c:pt idx="2">
                    <c:v>Rasmus Pruul</c:v>
                  </c:pt>
                  <c:pt idx="3">
                    <c:v>Ivo Värk</c:v>
                  </c:pt>
                  <c:pt idx="4">
                    <c:v>Aivar Jakobson</c:v>
                  </c:pt>
                  <c:pt idx="5">
                    <c:v>Aivar Teearu</c:v>
                  </c:pt>
                  <c:pt idx="6">
                    <c:v>Mart Kivi</c:v>
                  </c:pt>
                  <c:pt idx="7">
                    <c:v>Mart Metsjõe</c:v>
                  </c:pt>
                  <c:pt idx="8">
                    <c:v>Dmitri Käsper</c:v>
                  </c:pt>
                  <c:pt idx="9">
                    <c:v>Tiina Amos</c:v>
                  </c:pt>
                  <c:pt idx="10">
                    <c:v>Alari Kaljo</c:v>
                  </c:pt>
                  <c:pt idx="11">
                    <c:v>Tiiu Tamm</c:v>
                  </c:pt>
                  <c:pt idx="12">
                    <c:v>Janari Kaljo </c:v>
                  </c:pt>
                  <c:pt idx="13">
                    <c:v>Sander Soosaar</c:v>
                  </c:pt>
                  <c:pt idx="14">
                    <c:v>Annika Männik</c:v>
                  </c:pt>
                </c:lvl>
              </c:multiLvlStrCache>
            </c:multiLvlStrRef>
          </c:xVal>
          <c:yVal>
            <c:numRef>
              <c:f>Y_2!$E$7:$E$21</c:f>
              <c:numCache>
                <c:formatCode>#\ ##0\ "€"</c:formatCode>
                <c:ptCount val="15"/>
                <c:pt idx="0">
                  <c:v>180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504</c:v>
                </c:pt>
                <c:pt idx="6">
                  <c:v>150</c:v>
                </c:pt>
                <c:pt idx="7">
                  <c:v>0</c:v>
                </c:pt>
                <c:pt idx="8">
                  <c:v>276</c:v>
                </c:pt>
                <c:pt idx="9">
                  <c:v>0</c:v>
                </c:pt>
                <c:pt idx="10">
                  <c:v>162</c:v>
                </c:pt>
                <c:pt idx="11">
                  <c:v>384</c:v>
                </c:pt>
                <c:pt idx="12">
                  <c:v>126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C-4C62-BA2B-A916037A40B8}"/>
            </c:ext>
          </c:extLst>
        </c:ser>
        <c:ser>
          <c:idx val="1"/>
          <c:order val="1"/>
          <c:tx>
            <c:strRef>
              <c:f>Y_2!$F$6</c:f>
              <c:strCache>
                <c:ptCount val="1"/>
                <c:pt idx="0">
                  <c:v>Palk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multiLvlStrRef>
              <c:f>Y_2!$B$7:$D$21</c:f>
              <c:multiLvlStrCache>
                <c:ptCount val="15"/>
                <c:lvl>
                  <c:pt idx="0">
                    <c:v>jah</c:v>
                  </c:pt>
                  <c:pt idx="1">
                    <c:v>ei</c:v>
                  </c:pt>
                  <c:pt idx="2">
                    <c:v>ei</c:v>
                  </c:pt>
                  <c:pt idx="3">
                    <c:v>jah</c:v>
                  </c:pt>
                  <c:pt idx="4">
                    <c:v>ei</c:v>
                  </c:pt>
                  <c:pt idx="5">
                    <c:v>jah</c:v>
                  </c:pt>
                  <c:pt idx="6">
                    <c:v>jah</c:v>
                  </c:pt>
                  <c:pt idx="7">
                    <c:v>ei</c:v>
                  </c:pt>
                  <c:pt idx="8">
                    <c:v>jah</c:v>
                  </c:pt>
                  <c:pt idx="9">
                    <c:v>ei</c:v>
                  </c:pt>
                  <c:pt idx="10">
                    <c:v>jah</c:v>
                  </c:pt>
                  <c:pt idx="11">
                    <c:v>jah</c:v>
                  </c:pt>
                  <c:pt idx="12">
                    <c:v>jah</c:v>
                  </c:pt>
                  <c:pt idx="13">
                    <c:v>ei</c:v>
                  </c:pt>
                  <c:pt idx="14">
                    <c:v>ei</c:v>
                  </c:pt>
                </c:lvl>
                <c:lvl>
                  <c:pt idx="0">
                    <c:v>1 500 €</c:v>
                  </c:pt>
                  <c:pt idx="1">
                    <c:v>1 250 €</c:v>
                  </c:pt>
                  <c:pt idx="2">
                    <c:v>5 000 €</c:v>
                  </c:pt>
                  <c:pt idx="3">
                    <c:v>1 000 €</c:v>
                  </c:pt>
                  <c:pt idx="4">
                    <c:v>3 500 €</c:v>
                  </c:pt>
                  <c:pt idx="5">
                    <c:v>4 200 €</c:v>
                  </c:pt>
                  <c:pt idx="6">
                    <c:v>1 250 €</c:v>
                  </c:pt>
                  <c:pt idx="7">
                    <c:v>1 550 €</c:v>
                  </c:pt>
                  <c:pt idx="8">
                    <c:v>2 300 €</c:v>
                  </c:pt>
                  <c:pt idx="9">
                    <c:v>1 000 €</c:v>
                  </c:pt>
                  <c:pt idx="10">
                    <c:v>1 350 €</c:v>
                  </c:pt>
                  <c:pt idx="11">
                    <c:v>3 200 €</c:v>
                  </c:pt>
                  <c:pt idx="12">
                    <c:v>1 050 €</c:v>
                  </c:pt>
                  <c:pt idx="13">
                    <c:v>2 150 €</c:v>
                  </c:pt>
                  <c:pt idx="14">
                    <c:v>1 450 €</c:v>
                  </c:pt>
                </c:lvl>
                <c:lvl>
                  <c:pt idx="0">
                    <c:v>Alan Pent</c:v>
                  </c:pt>
                  <c:pt idx="1">
                    <c:v>Anton Smirnov</c:v>
                  </c:pt>
                  <c:pt idx="2">
                    <c:v>Rasmus Pruul</c:v>
                  </c:pt>
                  <c:pt idx="3">
                    <c:v>Ivo Värk</c:v>
                  </c:pt>
                  <c:pt idx="4">
                    <c:v>Aivar Jakobson</c:v>
                  </c:pt>
                  <c:pt idx="5">
                    <c:v>Aivar Teearu</c:v>
                  </c:pt>
                  <c:pt idx="6">
                    <c:v>Mart Kivi</c:v>
                  </c:pt>
                  <c:pt idx="7">
                    <c:v>Mart Metsjõe</c:v>
                  </c:pt>
                  <c:pt idx="8">
                    <c:v>Dmitri Käsper</c:v>
                  </c:pt>
                  <c:pt idx="9">
                    <c:v>Tiina Amos</c:v>
                  </c:pt>
                  <c:pt idx="10">
                    <c:v>Alari Kaljo</c:v>
                  </c:pt>
                  <c:pt idx="11">
                    <c:v>Tiiu Tamm</c:v>
                  </c:pt>
                  <c:pt idx="12">
                    <c:v>Janari Kaljo </c:v>
                  </c:pt>
                  <c:pt idx="13">
                    <c:v>Sander Soosaar</c:v>
                  </c:pt>
                  <c:pt idx="14">
                    <c:v>Annika Männik</c:v>
                  </c:pt>
                </c:lvl>
              </c:multiLvlStrCache>
            </c:multiLvlStrRef>
          </c:xVal>
          <c:yVal>
            <c:numRef>
              <c:f>Y_2!$F$7:$F$21</c:f>
              <c:numCache>
                <c:formatCode>#\ ##0\ "€"</c:formatCode>
                <c:ptCount val="15"/>
                <c:pt idx="0">
                  <c:v>1680</c:v>
                </c:pt>
                <c:pt idx="1">
                  <c:v>1250</c:v>
                </c:pt>
                <c:pt idx="2">
                  <c:v>5000</c:v>
                </c:pt>
                <c:pt idx="3">
                  <c:v>1120</c:v>
                </c:pt>
                <c:pt idx="4">
                  <c:v>3500</c:v>
                </c:pt>
                <c:pt idx="5">
                  <c:v>4704</c:v>
                </c:pt>
                <c:pt idx="6">
                  <c:v>1400</c:v>
                </c:pt>
                <c:pt idx="7">
                  <c:v>1550</c:v>
                </c:pt>
                <c:pt idx="8">
                  <c:v>2576</c:v>
                </c:pt>
                <c:pt idx="9">
                  <c:v>1000</c:v>
                </c:pt>
                <c:pt idx="10">
                  <c:v>1512</c:v>
                </c:pt>
                <c:pt idx="11">
                  <c:v>3584</c:v>
                </c:pt>
                <c:pt idx="12">
                  <c:v>1176</c:v>
                </c:pt>
                <c:pt idx="13">
                  <c:v>2150</c:v>
                </c:pt>
                <c:pt idx="14">
                  <c:v>1450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C-4C62-BA2B-A916037A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62095"/>
        <c:axId val="1234065519"/>
      </c:scatterChart>
      <c:valAx>
        <c:axId val="110376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234065519"/>
        <c:crosses val="autoZero"/>
        <c:crossBetween val="midCat"/>
      </c:valAx>
      <c:valAx>
        <c:axId val="1234065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10376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Y_3!$C$6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Y_3!$B$7:$B$24</c:f>
              <c:strCache>
                <c:ptCount val="18"/>
                <c:pt idx="0">
                  <c:v>Ees- ja peremini</c:v>
                </c:pt>
                <c:pt idx="1">
                  <c:v>Alan Pent</c:v>
                </c:pt>
                <c:pt idx="2">
                  <c:v>Anton Smirnov</c:v>
                </c:pt>
                <c:pt idx="3">
                  <c:v>Rasmus Pruul</c:v>
                </c:pt>
                <c:pt idx="4">
                  <c:v>Ivo Värk</c:v>
                </c:pt>
                <c:pt idx="5">
                  <c:v>Aivar Jakobson</c:v>
                </c:pt>
                <c:pt idx="6">
                  <c:v>Aivar Teearu</c:v>
                </c:pt>
                <c:pt idx="7">
                  <c:v>Mart Kivi</c:v>
                </c:pt>
                <c:pt idx="8">
                  <c:v>Mart Metsjõe</c:v>
                </c:pt>
                <c:pt idx="9">
                  <c:v>Dmitri Käsper</c:v>
                </c:pt>
                <c:pt idx="10">
                  <c:v>Tiina Amos</c:v>
                </c:pt>
                <c:pt idx="11">
                  <c:v>Alari Kaljo</c:v>
                </c:pt>
                <c:pt idx="12">
                  <c:v>Tiiu Tamm</c:v>
                </c:pt>
                <c:pt idx="13">
                  <c:v>Janari Kaljo </c:v>
                </c:pt>
                <c:pt idx="14">
                  <c:v>Sander Soosaar</c:v>
                </c:pt>
                <c:pt idx="15">
                  <c:v>Annika Männik</c:v>
                </c:pt>
                <c:pt idx="16">
                  <c:v>Andei Kedrov</c:v>
                </c:pt>
                <c:pt idx="17">
                  <c:v>Kert Jürgenson</c:v>
                </c:pt>
              </c:strCache>
            </c:strRef>
          </c:xVal>
          <c:yVal>
            <c:numRef>
              <c:f>Y_3!$C$7:$C$24</c:f>
              <c:numCache>
                <c:formatCode>General</c:formatCode>
                <c:ptCount val="18"/>
                <c:pt idx="0">
                  <c:v>0</c:v>
                </c:pt>
                <c:pt idx="1">
                  <c:v>167</c:v>
                </c:pt>
                <c:pt idx="2">
                  <c:v>185</c:v>
                </c:pt>
                <c:pt idx="3">
                  <c:v>178</c:v>
                </c:pt>
                <c:pt idx="4">
                  <c:v>166</c:v>
                </c:pt>
                <c:pt idx="5">
                  <c:v>182</c:v>
                </c:pt>
                <c:pt idx="6">
                  <c:v>168</c:v>
                </c:pt>
                <c:pt idx="7">
                  <c:v>190</c:v>
                </c:pt>
                <c:pt idx="8">
                  <c:v>182</c:v>
                </c:pt>
                <c:pt idx="9">
                  <c:v>173</c:v>
                </c:pt>
                <c:pt idx="10">
                  <c:v>175</c:v>
                </c:pt>
                <c:pt idx="11">
                  <c:v>158</c:v>
                </c:pt>
                <c:pt idx="12">
                  <c:v>182</c:v>
                </c:pt>
                <c:pt idx="13">
                  <c:v>166</c:v>
                </c:pt>
                <c:pt idx="14">
                  <c:v>166</c:v>
                </c:pt>
                <c:pt idx="15">
                  <c:v>182</c:v>
                </c:pt>
                <c:pt idx="16">
                  <c:v>168</c:v>
                </c:pt>
                <c:pt idx="17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7-4611-A27C-B0E6D46AC589}"/>
            </c:ext>
          </c:extLst>
        </c:ser>
        <c:ser>
          <c:idx val="1"/>
          <c:order val="1"/>
          <c:tx>
            <c:strRef>
              <c:f>Y_3!$D$6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Y_3!$B$7:$B$24</c:f>
              <c:strCache>
                <c:ptCount val="18"/>
                <c:pt idx="0">
                  <c:v>Ees- ja peremini</c:v>
                </c:pt>
                <c:pt idx="1">
                  <c:v>Alan Pent</c:v>
                </c:pt>
                <c:pt idx="2">
                  <c:v>Anton Smirnov</c:v>
                </c:pt>
                <c:pt idx="3">
                  <c:v>Rasmus Pruul</c:v>
                </c:pt>
                <c:pt idx="4">
                  <c:v>Ivo Värk</c:v>
                </c:pt>
                <c:pt idx="5">
                  <c:v>Aivar Jakobson</c:v>
                </c:pt>
                <c:pt idx="6">
                  <c:v>Aivar Teearu</c:v>
                </c:pt>
                <c:pt idx="7">
                  <c:v>Mart Kivi</c:v>
                </c:pt>
                <c:pt idx="8">
                  <c:v>Mart Metsjõe</c:v>
                </c:pt>
                <c:pt idx="9">
                  <c:v>Dmitri Käsper</c:v>
                </c:pt>
                <c:pt idx="10">
                  <c:v>Tiina Amos</c:v>
                </c:pt>
                <c:pt idx="11">
                  <c:v>Alari Kaljo</c:v>
                </c:pt>
                <c:pt idx="12">
                  <c:v>Tiiu Tamm</c:v>
                </c:pt>
                <c:pt idx="13">
                  <c:v>Janari Kaljo </c:v>
                </c:pt>
                <c:pt idx="14">
                  <c:v>Sander Soosaar</c:v>
                </c:pt>
                <c:pt idx="15">
                  <c:v>Annika Männik</c:v>
                </c:pt>
                <c:pt idx="16">
                  <c:v>Andei Kedrov</c:v>
                </c:pt>
                <c:pt idx="17">
                  <c:v>Kert Jürgenson</c:v>
                </c:pt>
              </c:strCache>
            </c:strRef>
          </c:xVal>
          <c:yVal>
            <c:numRef>
              <c:f>Y_3!$D$7:$D$24</c:f>
              <c:numCache>
                <c:formatCode>General</c:formatCode>
                <c:ptCount val="18"/>
                <c:pt idx="0">
                  <c:v>0</c:v>
                </c:pt>
                <c:pt idx="1">
                  <c:v>57</c:v>
                </c:pt>
                <c:pt idx="2">
                  <c:v>85</c:v>
                </c:pt>
                <c:pt idx="3">
                  <c:v>77</c:v>
                </c:pt>
                <c:pt idx="4">
                  <c:v>55</c:v>
                </c:pt>
                <c:pt idx="5">
                  <c:v>85</c:v>
                </c:pt>
                <c:pt idx="6">
                  <c:v>58</c:v>
                </c:pt>
                <c:pt idx="7">
                  <c:v>89</c:v>
                </c:pt>
                <c:pt idx="8">
                  <c:v>113</c:v>
                </c:pt>
                <c:pt idx="9">
                  <c:v>61</c:v>
                </c:pt>
                <c:pt idx="10">
                  <c:v>75</c:v>
                </c:pt>
                <c:pt idx="11">
                  <c:v>55</c:v>
                </c:pt>
                <c:pt idx="12">
                  <c:v>69</c:v>
                </c:pt>
                <c:pt idx="13">
                  <c:v>56</c:v>
                </c:pt>
                <c:pt idx="14">
                  <c:v>55</c:v>
                </c:pt>
                <c:pt idx="15">
                  <c:v>85</c:v>
                </c:pt>
                <c:pt idx="16">
                  <c:v>58</c:v>
                </c:pt>
                <c:pt idx="17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7-4611-A27C-B0E6D46AC589}"/>
            </c:ext>
          </c:extLst>
        </c:ser>
        <c:ser>
          <c:idx val="2"/>
          <c:order val="2"/>
          <c:tx>
            <c:strRef>
              <c:f>Y_3!$E$6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Y_3!$B$7:$B$24</c:f>
              <c:strCache>
                <c:ptCount val="18"/>
                <c:pt idx="0">
                  <c:v>Ees- ja peremini</c:v>
                </c:pt>
                <c:pt idx="1">
                  <c:v>Alan Pent</c:v>
                </c:pt>
                <c:pt idx="2">
                  <c:v>Anton Smirnov</c:v>
                </c:pt>
                <c:pt idx="3">
                  <c:v>Rasmus Pruul</c:v>
                </c:pt>
                <c:pt idx="4">
                  <c:v>Ivo Värk</c:v>
                </c:pt>
                <c:pt idx="5">
                  <c:v>Aivar Jakobson</c:v>
                </c:pt>
                <c:pt idx="6">
                  <c:v>Aivar Teearu</c:v>
                </c:pt>
                <c:pt idx="7">
                  <c:v>Mart Kivi</c:v>
                </c:pt>
                <c:pt idx="8">
                  <c:v>Mart Metsjõe</c:v>
                </c:pt>
                <c:pt idx="9">
                  <c:v>Dmitri Käsper</c:v>
                </c:pt>
                <c:pt idx="10">
                  <c:v>Tiina Amos</c:v>
                </c:pt>
                <c:pt idx="11">
                  <c:v>Alari Kaljo</c:v>
                </c:pt>
                <c:pt idx="12">
                  <c:v>Tiiu Tamm</c:v>
                </c:pt>
                <c:pt idx="13">
                  <c:v>Janari Kaljo </c:v>
                </c:pt>
                <c:pt idx="14">
                  <c:v>Sander Soosaar</c:v>
                </c:pt>
                <c:pt idx="15">
                  <c:v>Annika Männik</c:v>
                </c:pt>
                <c:pt idx="16">
                  <c:v>Andei Kedrov</c:v>
                </c:pt>
                <c:pt idx="17">
                  <c:v>Kert Jürgenson</c:v>
                </c:pt>
              </c:strCache>
            </c:strRef>
          </c:xVal>
          <c:yVal>
            <c:numRef>
              <c:f>Y_3!$E$7:$E$24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67-4611-A27C-B0E6D46AC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466431"/>
        <c:axId val="1234065935"/>
      </c:scatterChart>
      <c:valAx>
        <c:axId val="169046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234065935"/>
        <c:crosses val="autoZero"/>
        <c:crossBetween val="midCat"/>
      </c:valAx>
      <c:valAx>
        <c:axId val="123406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690466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Y_4!$C$10</c:f>
              <c:strCache>
                <c:ptCount val="1"/>
                <c:pt idx="0">
                  <c:v>Punktide arv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Y_4!$B$11:$B$27</c:f>
              <c:strCache>
                <c:ptCount val="17"/>
                <c:pt idx="0">
                  <c:v>Alan Pent</c:v>
                </c:pt>
                <c:pt idx="1">
                  <c:v>Anton Smirnov</c:v>
                </c:pt>
                <c:pt idx="2">
                  <c:v>Rasmus Pruul</c:v>
                </c:pt>
                <c:pt idx="3">
                  <c:v>Ivo Värk</c:v>
                </c:pt>
                <c:pt idx="4">
                  <c:v>Aivar Jakobson</c:v>
                </c:pt>
                <c:pt idx="5">
                  <c:v>Aivar Teearu</c:v>
                </c:pt>
                <c:pt idx="6">
                  <c:v>Mart Kivi</c:v>
                </c:pt>
                <c:pt idx="7">
                  <c:v>Mart Metsjõe</c:v>
                </c:pt>
                <c:pt idx="8">
                  <c:v>Dmitri Käsper</c:v>
                </c:pt>
                <c:pt idx="9">
                  <c:v>Tiina Amos</c:v>
                </c:pt>
                <c:pt idx="10">
                  <c:v>Alari Kaljo</c:v>
                </c:pt>
                <c:pt idx="11">
                  <c:v>Tiiu Tamm</c:v>
                </c:pt>
                <c:pt idx="12">
                  <c:v>Janari Kaljo </c:v>
                </c:pt>
                <c:pt idx="13">
                  <c:v>Sander Soosaar</c:v>
                </c:pt>
                <c:pt idx="14">
                  <c:v>Annika Männik</c:v>
                </c:pt>
                <c:pt idx="15">
                  <c:v>Andei Kedrov</c:v>
                </c:pt>
                <c:pt idx="16">
                  <c:v>Kert Jürgenson</c:v>
                </c:pt>
              </c:strCache>
            </c:strRef>
          </c:xVal>
          <c:yVal>
            <c:numRef>
              <c:f>Y_4!$C$11:$C$27</c:f>
              <c:numCache>
                <c:formatCode>General</c:formatCode>
                <c:ptCount val="1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  <c:pt idx="7">
                  <c:v>90</c:v>
                </c:pt>
                <c:pt idx="9">
                  <c:v>79</c:v>
                </c:pt>
                <c:pt idx="11">
                  <c:v>15</c:v>
                </c:pt>
                <c:pt idx="12">
                  <c:v>65</c:v>
                </c:pt>
                <c:pt idx="13">
                  <c:v>84</c:v>
                </c:pt>
                <c:pt idx="14">
                  <c:v>100</c:v>
                </c:pt>
                <c:pt idx="15">
                  <c:v>36</c:v>
                </c:pt>
                <c:pt idx="16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9C-412F-83CD-927C9B4B6482}"/>
            </c:ext>
          </c:extLst>
        </c:ser>
        <c:ser>
          <c:idx val="1"/>
          <c:order val="1"/>
          <c:tx>
            <c:strRef>
              <c:f>Y_4!$D$10</c:f>
              <c:strCache>
                <c:ptCount val="1"/>
                <c:pt idx="0">
                  <c:v>Hinne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Y_4!$B$11:$B$27</c:f>
              <c:strCache>
                <c:ptCount val="17"/>
                <c:pt idx="0">
                  <c:v>Alan Pent</c:v>
                </c:pt>
                <c:pt idx="1">
                  <c:v>Anton Smirnov</c:v>
                </c:pt>
                <c:pt idx="2">
                  <c:v>Rasmus Pruul</c:v>
                </c:pt>
                <c:pt idx="3">
                  <c:v>Ivo Värk</c:v>
                </c:pt>
                <c:pt idx="4">
                  <c:v>Aivar Jakobson</c:v>
                </c:pt>
                <c:pt idx="5">
                  <c:v>Aivar Teearu</c:v>
                </c:pt>
                <c:pt idx="6">
                  <c:v>Mart Kivi</c:v>
                </c:pt>
                <c:pt idx="7">
                  <c:v>Mart Metsjõe</c:v>
                </c:pt>
                <c:pt idx="8">
                  <c:v>Dmitri Käsper</c:v>
                </c:pt>
                <c:pt idx="9">
                  <c:v>Tiina Amos</c:v>
                </c:pt>
                <c:pt idx="10">
                  <c:v>Alari Kaljo</c:v>
                </c:pt>
                <c:pt idx="11">
                  <c:v>Tiiu Tamm</c:v>
                </c:pt>
                <c:pt idx="12">
                  <c:v>Janari Kaljo </c:v>
                </c:pt>
                <c:pt idx="13">
                  <c:v>Sander Soosaar</c:v>
                </c:pt>
                <c:pt idx="14">
                  <c:v>Annika Männik</c:v>
                </c:pt>
                <c:pt idx="15">
                  <c:v>Andei Kedrov</c:v>
                </c:pt>
                <c:pt idx="16">
                  <c:v>Kert Jürgenson</c:v>
                </c:pt>
              </c:strCache>
            </c:strRef>
          </c:xVal>
          <c:yVal>
            <c:numRef>
              <c:f>Y_4!$D$11:$D$27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0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C-412F-83CD-927C9B4B6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094079"/>
        <c:axId val="1702930191"/>
      </c:scatterChart>
      <c:valAx>
        <c:axId val="170309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702930191"/>
        <c:crosses val="autoZero"/>
        <c:crossBetween val="midCat"/>
      </c:valAx>
      <c:valAx>
        <c:axId val="170293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703094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>
        <c:manualLayout>
          <c:layoutTarget val="inner"/>
          <c:xMode val="edge"/>
          <c:yMode val="edge"/>
          <c:x val="9.3136482939632545E-2"/>
          <c:y val="0.19486111111111112"/>
          <c:w val="0.8775301837270341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Y_4!$C$10</c:f>
              <c:strCache>
                <c:ptCount val="1"/>
                <c:pt idx="0">
                  <c:v>Punktide arv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Y_4!$B$11:$B$27</c:f>
              <c:strCache>
                <c:ptCount val="17"/>
                <c:pt idx="0">
                  <c:v>Alan Pent</c:v>
                </c:pt>
                <c:pt idx="1">
                  <c:v>Anton Smirnov</c:v>
                </c:pt>
                <c:pt idx="2">
                  <c:v>Rasmus Pruul</c:v>
                </c:pt>
                <c:pt idx="3">
                  <c:v>Ivo Värk</c:v>
                </c:pt>
                <c:pt idx="4">
                  <c:v>Aivar Jakobson</c:v>
                </c:pt>
                <c:pt idx="5">
                  <c:v>Aivar Teearu</c:v>
                </c:pt>
                <c:pt idx="6">
                  <c:v>Mart Kivi</c:v>
                </c:pt>
                <c:pt idx="7">
                  <c:v>Mart Metsjõe</c:v>
                </c:pt>
                <c:pt idx="8">
                  <c:v>Dmitri Käsper</c:v>
                </c:pt>
                <c:pt idx="9">
                  <c:v>Tiina Amos</c:v>
                </c:pt>
                <c:pt idx="10">
                  <c:v>Alari Kaljo</c:v>
                </c:pt>
                <c:pt idx="11">
                  <c:v>Tiiu Tamm</c:v>
                </c:pt>
                <c:pt idx="12">
                  <c:v>Janari Kaljo </c:v>
                </c:pt>
                <c:pt idx="13">
                  <c:v>Sander Soosaar</c:v>
                </c:pt>
                <c:pt idx="14">
                  <c:v>Annika Männik</c:v>
                </c:pt>
                <c:pt idx="15">
                  <c:v>Andei Kedrov</c:v>
                </c:pt>
                <c:pt idx="16">
                  <c:v>Kert Jürgenson</c:v>
                </c:pt>
              </c:strCache>
            </c:strRef>
          </c:xVal>
          <c:yVal>
            <c:numRef>
              <c:f>Y_4!$C$11:$C$27</c:f>
              <c:numCache>
                <c:formatCode>General</c:formatCode>
                <c:ptCount val="1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  <c:pt idx="7">
                  <c:v>90</c:v>
                </c:pt>
                <c:pt idx="9">
                  <c:v>79</c:v>
                </c:pt>
                <c:pt idx="11">
                  <c:v>15</c:v>
                </c:pt>
                <c:pt idx="12">
                  <c:v>65</c:v>
                </c:pt>
                <c:pt idx="13">
                  <c:v>84</c:v>
                </c:pt>
                <c:pt idx="14">
                  <c:v>100</c:v>
                </c:pt>
                <c:pt idx="15">
                  <c:v>36</c:v>
                </c:pt>
                <c:pt idx="16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1-47F8-BFE9-D8118FE21E41}"/>
            </c:ext>
          </c:extLst>
        </c:ser>
        <c:ser>
          <c:idx val="1"/>
          <c:order val="1"/>
          <c:tx>
            <c:strRef>
              <c:f>Y_4!$D$10</c:f>
              <c:strCache>
                <c:ptCount val="1"/>
                <c:pt idx="0">
                  <c:v>Hinne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Y_4!$B$11:$B$27</c:f>
              <c:strCache>
                <c:ptCount val="17"/>
                <c:pt idx="0">
                  <c:v>Alan Pent</c:v>
                </c:pt>
                <c:pt idx="1">
                  <c:v>Anton Smirnov</c:v>
                </c:pt>
                <c:pt idx="2">
                  <c:v>Rasmus Pruul</c:v>
                </c:pt>
                <c:pt idx="3">
                  <c:v>Ivo Värk</c:v>
                </c:pt>
                <c:pt idx="4">
                  <c:v>Aivar Jakobson</c:v>
                </c:pt>
                <c:pt idx="5">
                  <c:v>Aivar Teearu</c:v>
                </c:pt>
                <c:pt idx="6">
                  <c:v>Mart Kivi</c:v>
                </c:pt>
                <c:pt idx="7">
                  <c:v>Mart Metsjõe</c:v>
                </c:pt>
                <c:pt idx="8">
                  <c:v>Dmitri Käsper</c:v>
                </c:pt>
                <c:pt idx="9">
                  <c:v>Tiina Amos</c:v>
                </c:pt>
                <c:pt idx="10">
                  <c:v>Alari Kaljo</c:v>
                </c:pt>
                <c:pt idx="11">
                  <c:v>Tiiu Tamm</c:v>
                </c:pt>
                <c:pt idx="12">
                  <c:v>Janari Kaljo </c:v>
                </c:pt>
                <c:pt idx="13">
                  <c:v>Sander Soosaar</c:v>
                </c:pt>
                <c:pt idx="14">
                  <c:v>Annika Männik</c:v>
                </c:pt>
                <c:pt idx="15">
                  <c:v>Andei Kedrov</c:v>
                </c:pt>
                <c:pt idx="16">
                  <c:v>Kert Jürgenson</c:v>
                </c:pt>
              </c:strCache>
            </c:strRef>
          </c:xVal>
          <c:yVal>
            <c:numRef>
              <c:f>Y_4!$D$11:$D$27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0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11-47F8-BFE9-D8118FE21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269807"/>
        <c:axId val="1398887039"/>
      </c:scatterChart>
      <c:valAx>
        <c:axId val="124226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398887039"/>
        <c:crosses val="autoZero"/>
        <c:crossBetween val="midCat"/>
      </c:valAx>
      <c:valAx>
        <c:axId val="139888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242269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5</xdr:row>
      <xdr:rowOff>9525</xdr:rowOff>
    </xdr:from>
    <xdr:to>
      <xdr:col>13</xdr:col>
      <xdr:colOff>333375</xdr:colOff>
      <xdr:row>17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57775" y="962025"/>
          <a:ext cx="4591050" cy="26765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9525</xdr:colOff>
      <xdr:row>4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0"/>
          <a:ext cx="4781550" cy="8096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t-EE" sz="1100"/>
            <a:t>On antud kaupad</a:t>
          </a:r>
          <a:r>
            <a:rPr lang="et-EE" sz="1100" baseline="0"/>
            <a:t>e hinnad käibemaksuga. Luua kaks kasutajafunktsiooni:</a:t>
          </a:r>
        </a:p>
        <a:p>
          <a:r>
            <a:rPr lang="et-EE" sz="1100" baseline="0"/>
            <a:t> - funktsioon  hind_maksuta(hind;protsent), mis leiab kauba hinna käibemaksuta;</a:t>
          </a:r>
        </a:p>
        <a:p>
          <a:r>
            <a:rPr lang="et-EE" sz="1100" baseline="0"/>
            <a:t> - </a:t>
          </a:r>
          <a:r>
            <a:rPr lang="et-E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funktsioon  maks(hind; protsent), mis leiab käibemaksu.</a:t>
          </a:r>
        </a:p>
        <a:p>
          <a:r>
            <a:rPr lang="et-E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Lahtrile protsent määrata nimi.</a:t>
          </a:r>
          <a:endParaRPr lang="et-EE" sz="1100"/>
        </a:p>
      </xdr:txBody>
    </xdr:sp>
    <xdr:clientData/>
  </xdr:twoCellAnchor>
  <xdr:twoCellAnchor>
    <xdr:from>
      <xdr:col>1</xdr:col>
      <xdr:colOff>600075</xdr:colOff>
      <xdr:row>21</xdr:row>
      <xdr:rowOff>104774</xdr:rowOff>
    </xdr:from>
    <xdr:to>
      <xdr:col>10</xdr:col>
      <xdr:colOff>114300</xdr:colOff>
      <xdr:row>40</xdr:row>
      <xdr:rowOff>171449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1</xdr:row>
          <xdr:rowOff>106680</xdr:rowOff>
        </xdr:from>
        <xdr:to>
          <xdr:col>8</xdr:col>
          <xdr:colOff>579120</xdr:colOff>
          <xdr:row>3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541020</xdr:colOff>
          <xdr:row>1</xdr:row>
          <xdr:rowOff>114300</xdr:rowOff>
        </xdr:from>
        <xdr:to>
          <xdr:col>11</xdr:col>
          <xdr:colOff>327660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puhasta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495300</xdr:colOff>
      <xdr:row>4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0" y="0"/>
          <a:ext cx="8048625" cy="876300"/>
        </a:xfrm>
        <a:prstGeom prst="rect">
          <a:avLst/>
        </a:prstGeom>
        <a:solidFill>
          <a:srgbClr val="FFFFC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t-EE" sz="1200" baseline="0"/>
            <a:t>On antud firma töötajate </a:t>
          </a:r>
          <a:r>
            <a:rPr lang="et-E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nimekiri,</a:t>
          </a:r>
          <a:r>
            <a:rPr lang="et-EE" sz="1200" baseline="0"/>
            <a:t> nende palgad  ja informatsioon preemia saamise kohta</a:t>
          </a:r>
          <a:r>
            <a:rPr lang="ru-RU" sz="1200" baseline="0"/>
            <a:t>. </a:t>
          </a:r>
          <a:r>
            <a:rPr lang="et-EE" sz="1200" baseline="0"/>
            <a:t>Preemia saamise määrata valideerimisega (jah/ei). Koostada kaks funktsiooni mis arvutavad iga töötaja preemia ja palga suurus, kui preemia moodustub n</a:t>
          </a:r>
          <a:r>
            <a:rPr lang="ru-RU" sz="1200" baseline="0"/>
            <a:t>% </a:t>
          </a:r>
          <a:r>
            <a:rPr lang="et-EE" sz="1200" baseline="0"/>
            <a:t> põhipalgast</a:t>
          </a:r>
          <a:r>
            <a:rPr lang="ru-RU" sz="1200" baseline="0"/>
            <a:t>.</a:t>
          </a:r>
          <a:r>
            <a:rPr lang="et-EE" sz="1200" baseline="0"/>
            <a:t> Lahtri</a:t>
          </a:r>
          <a:r>
            <a:rPr lang="ru-RU" sz="1200" baseline="0"/>
            <a:t> </a:t>
          </a:r>
          <a:r>
            <a:rPr lang="et-EE" sz="1200" b="1" i="1" baseline="0"/>
            <a:t>n</a:t>
          </a:r>
          <a:r>
            <a:rPr lang="ru-RU" sz="1200" baseline="0"/>
            <a:t> </a:t>
          </a:r>
          <a:r>
            <a:rPr lang="et-EE" sz="1200" baseline="0"/>
            <a:t>jaoks kasutada valiku võimaluse väärtustega</a:t>
          </a:r>
          <a:r>
            <a:rPr lang="ru-RU" sz="1200" baseline="0"/>
            <a:t>: 10%, 12%, 15%</a:t>
          </a:r>
          <a:r>
            <a:rPr lang="et-EE" sz="1200" baseline="0"/>
            <a:t> </a:t>
          </a:r>
          <a:r>
            <a:rPr lang="ru-RU" sz="1200" baseline="0"/>
            <a:t>(</a:t>
          </a:r>
          <a:r>
            <a:rPr lang="et-E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kasutada</a:t>
          </a:r>
          <a:r>
            <a:rPr lang="ru-RU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t-E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valideerimist</a:t>
          </a:r>
          <a:r>
            <a:rPr lang="ru-RU" sz="1200" baseline="0"/>
            <a:t>).</a:t>
          </a:r>
        </a:p>
        <a:p>
          <a:endParaRPr lang="ru-RU" sz="1200" baseline="0"/>
        </a:p>
      </xdr:txBody>
    </xdr:sp>
    <xdr:clientData/>
  </xdr:twoCellAnchor>
  <xdr:twoCellAnchor editAs="oneCell">
    <xdr:from>
      <xdr:col>8</xdr:col>
      <xdr:colOff>76200</xdr:colOff>
      <xdr:row>4</xdr:row>
      <xdr:rowOff>123825</xdr:rowOff>
    </xdr:from>
    <xdr:to>
      <xdr:col>15</xdr:col>
      <xdr:colOff>333375</xdr:colOff>
      <xdr:row>20</xdr:row>
      <xdr:rowOff>190500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00000000-0008-0000-02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33950" y="885825"/>
          <a:ext cx="4171950" cy="3457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276225</xdr:colOff>
      <xdr:row>25</xdr:row>
      <xdr:rowOff>123825</xdr:rowOff>
    </xdr:from>
    <xdr:to>
      <xdr:col>12</xdr:col>
      <xdr:colOff>66675</xdr:colOff>
      <xdr:row>40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24</xdr:row>
          <xdr:rowOff>60960</xdr:rowOff>
        </xdr:from>
        <xdr:to>
          <xdr:col>16</xdr:col>
          <xdr:colOff>403860</xdr:colOff>
          <xdr:row>27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preemiad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29</xdr:row>
          <xdr:rowOff>182880</xdr:rowOff>
        </xdr:from>
        <xdr:to>
          <xdr:col>16</xdr:col>
          <xdr:colOff>541020</xdr:colOff>
          <xdr:row>34</xdr:row>
          <xdr:rowOff>45720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7</xdr:row>
      <xdr:rowOff>57150</xdr:rowOff>
    </xdr:from>
    <xdr:to>
      <xdr:col>9</xdr:col>
      <xdr:colOff>247650</xdr:colOff>
      <xdr:row>9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4876800" y="1409700"/>
          <a:ext cx="2124075" cy="457200"/>
        </a:xfrm>
        <a:prstGeom prst="foldedCorner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t-EE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t-E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Function KSEIS (pikkus, kaal)</a:t>
          </a:r>
        </a:p>
      </xdr:txBody>
    </xdr:sp>
    <xdr:clientData/>
  </xdr:twoCellAnchor>
  <xdr:twoCellAnchor>
    <xdr:from>
      <xdr:col>0</xdr:col>
      <xdr:colOff>38100</xdr:colOff>
      <xdr:row>0</xdr:row>
      <xdr:rowOff>47625</xdr:rowOff>
    </xdr:from>
    <xdr:to>
      <xdr:col>13</xdr:col>
      <xdr:colOff>523875</xdr:colOff>
      <xdr:row>6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38100" y="47625"/>
          <a:ext cx="9077325" cy="1095375"/>
        </a:xfrm>
        <a:prstGeom prst="rect">
          <a:avLst/>
        </a:prstGeom>
        <a:solidFill>
          <a:srgbClr val="FFFFCC"/>
        </a:solidFill>
        <a:ln w="9525">
          <a:solidFill>
            <a:schemeClr val="accent5">
              <a:lumMod val="20000"/>
              <a:lumOff val="80000"/>
            </a:schemeClr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Koostada skeemi alusel kasutajafunktsioon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-s, mis näitaks, kas inimene on </a:t>
          </a:r>
          <a:r>
            <a:rPr lang="en-US" sz="1100" b="0" i="1" strike="noStrike">
              <a:solidFill>
                <a:srgbClr val="000000"/>
              </a:solidFill>
              <a:latin typeface="Arial"/>
              <a:cs typeface="Arial"/>
            </a:rPr>
            <a:t>alakaaluline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, </a:t>
          </a:r>
          <a:r>
            <a:rPr lang="en-US" sz="1100" b="0" i="1" strike="noStrike">
              <a:solidFill>
                <a:srgbClr val="000000"/>
              </a:solidFill>
              <a:latin typeface="Arial"/>
              <a:cs typeface="Arial"/>
            </a:rPr>
            <a:t>ülekaaluline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või </a:t>
          </a:r>
          <a:r>
            <a:rPr lang="en-US" sz="1100" b="0" i="1" strike="noStrike">
              <a:solidFill>
                <a:srgbClr val="000000"/>
              </a:solidFill>
              <a:latin typeface="Arial"/>
              <a:cs typeface="Arial"/>
            </a:rPr>
            <a:t>normaalse kaaluga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Arvutada järgmiselt:</a:t>
          </a:r>
        </a:p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Kui pikkuse ja kaalu vahe jääb piiridesse </a:t>
          </a:r>
          <a:r>
            <a:rPr lang="en-US" sz="1100" b="1" i="1" strike="noStrike">
              <a:solidFill>
                <a:srgbClr val="000000"/>
              </a:solidFill>
              <a:latin typeface="Arial"/>
              <a:cs typeface="Arial"/>
            </a:rPr>
            <a:t>90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kuni </a:t>
          </a:r>
          <a:r>
            <a:rPr lang="en-US" sz="1100" b="1" i="1" strike="noStrike">
              <a:solidFill>
                <a:srgbClr val="000000"/>
              </a:solidFill>
              <a:latin typeface="Arial"/>
              <a:cs typeface="Arial"/>
            </a:rPr>
            <a:t>110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, on kaal normaalne, kui vahe on väiksem, on kaal liiga suur, kui vahe on</a:t>
          </a:r>
          <a:b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</a:b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suurem, on kaal liiga väike</a:t>
          </a: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0">
            <a:defRPr sz="1000"/>
          </a:pP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Tulp "Hinnanhg"</a:t>
          </a:r>
          <a:r>
            <a:rPr lang="et-EE" sz="1100" b="0" i="0" strike="noStrike" baseline="0">
              <a:solidFill>
                <a:srgbClr val="000000"/>
              </a:solidFill>
              <a:latin typeface="Arial"/>
              <a:cs typeface="Arial"/>
            </a:rPr>
            <a:t> - tehakse lahtri kontroll, ehk, lahtrisse ei luba sisestada numbrit. Teavita sellest (Kasuta </a:t>
          </a:r>
          <a:r>
            <a:rPr lang="et-EE" sz="1100" b="1" i="1" strike="noStrike" baseline="0">
              <a:solidFill>
                <a:srgbClr val="000000"/>
              </a:solidFill>
              <a:latin typeface="Arial"/>
              <a:cs typeface="Arial"/>
            </a:rPr>
            <a:t>Data Validation-Error Alert</a:t>
          </a:r>
          <a:r>
            <a:rPr lang="et-EE" sz="1100" b="0" i="0" strike="noStrike" baseline="0">
              <a:solidFill>
                <a:srgbClr val="000000"/>
              </a:solidFill>
              <a:latin typeface="Arial"/>
              <a:cs typeface="Arial"/>
            </a:rPr>
            <a:t>)</a:t>
          </a:r>
          <a:endParaRPr lang="en-US" sz="11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18</xdr:col>
      <xdr:colOff>314325</xdr:colOff>
      <xdr:row>26</xdr:row>
      <xdr:rowOff>9525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1143000"/>
          <a:ext cx="3971925" cy="38195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11</xdr:row>
          <xdr:rowOff>22860</xdr:rowOff>
        </xdr:from>
        <xdr:to>
          <xdr:col>12</xdr:col>
          <xdr:colOff>152400</xdr:colOff>
          <xdr:row>24</xdr:row>
          <xdr:rowOff>22860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209550</xdr:colOff>
      <xdr:row>28</xdr:row>
      <xdr:rowOff>76200</xdr:rowOff>
    </xdr:from>
    <xdr:to>
      <xdr:col>10</xdr:col>
      <xdr:colOff>238125</xdr:colOff>
      <xdr:row>42</xdr:row>
      <xdr:rowOff>152400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28</xdr:row>
          <xdr:rowOff>152400</xdr:rowOff>
        </xdr:from>
        <xdr:to>
          <xdr:col>15</xdr:col>
          <xdr:colOff>99060</xdr:colOff>
          <xdr:row>32</xdr:row>
          <xdr:rowOff>144780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kseis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35</xdr:row>
          <xdr:rowOff>7620</xdr:rowOff>
        </xdr:from>
        <xdr:to>
          <xdr:col>15</xdr:col>
          <xdr:colOff>198120</xdr:colOff>
          <xdr:row>38</xdr:row>
          <xdr:rowOff>121920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10</xdr:row>
      <xdr:rowOff>63499</xdr:rowOff>
    </xdr:from>
    <xdr:to>
      <xdr:col>15</xdr:col>
      <xdr:colOff>246063</xdr:colOff>
      <xdr:row>23</xdr:row>
      <xdr:rowOff>150812</xdr:rowOff>
    </xdr:to>
    <xdr:grpSp>
      <xdr:nvGrpSpPr>
        <xdr:cNvPr id="3" name="Group 6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>
          <a:grpSpLocks/>
        </xdr:cNvGrpSpPr>
      </xdr:nvGrpSpPr>
      <xdr:grpSpPr bwMode="auto">
        <a:xfrm>
          <a:off x="3539490" y="1907539"/>
          <a:ext cx="7557453" cy="2464753"/>
          <a:chOff x="114" y="16"/>
          <a:chExt cx="813" cy="260"/>
        </a:xfrm>
      </xdr:grpSpPr>
      <xdr:sp macro="" textlink="">
        <xdr:nvSpPr>
          <xdr:cNvPr id="4" name="Oval 2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433" y="32"/>
            <a:ext cx="15" cy="15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AutoShape 9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455" y="16"/>
            <a:ext cx="189" cy="30"/>
          </a:xfrm>
          <a:prstGeom prst="foldedCorner">
            <a:avLst>
              <a:gd name="adj" fmla="val 12500"/>
            </a:avLst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Function hinne(punktid) </a:t>
            </a:r>
          </a:p>
        </xdr:txBody>
      </xdr:sp>
      <xdr:sp macro="" textlink="">
        <xdr:nvSpPr>
          <xdr:cNvPr id="6" name="AutoShape 39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423" y="68"/>
            <a:ext cx="35" cy="28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AutoShape 4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4" y="156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0</a:t>
            </a:r>
          </a:p>
        </xdr:txBody>
      </xdr:sp>
      <xdr:sp macro="" textlink="">
        <xdr:nvSpPr>
          <xdr:cNvPr id="8" name="Text Box 38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" y="54"/>
            <a:ext cx="108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0 To 49 ]</a:t>
            </a:r>
          </a:p>
        </xdr:txBody>
      </xdr:sp>
      <xdr:sp macro="" textlink="">
        <xdr:nvSpPr>
          <xdr:cNvPr id="9" name="Text Box 3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54"/>
            <a:ext cx="112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50 To 59 ]</a:t>
            </a:r>
          </a:p>
        </xdr:txBody>
      </xdr:sp>
      <xdr:sp macro="" textlink="">
        <xdr:nvSpPr>
          <xdr:cNvPr id="10" name="Text Box 38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114"/>
            <a:ext cx="110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60 To 69 ]</a:t>
            </a:r>
          </a:p>
        </xdr:txBody>
      </xdr:sp>
      <xdr:sp macro="" textlink="">
        <xdr:nvSpPr>
          <xdr:cNvPr id="11" name="Text Box 38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0" y="113"/>
            <a:ext cx="109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70 To 79 ]</a:t>
            </a:r>
          </a:p>
        </xdr:txBody>
      </xdr:sp>
      <xdr:sp macro="" textlink="">
        <xdr:nvSpPr>
          <xdr:cNvPr id="12" name="Text Box 38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9" y="54"/>
            <a:ext cx="111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80 To89 ]</a:t>
            </a:r>
          </a:p>
        </xdr:txBody>
      </xdr:sp>
      <xdr:sp macro="" textlink="">
        <xdr:nvSpPr>
          <xdr:cNvPr id="13" name="Text Box 38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0" y="97"/>
            <a:ext cx="124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90 To100 ]</a:t>
            </a:r>
          </a:p>
        </xdr:txBody>
      </xdr:sp>
      <xdr:sp macro="" textlink="">
        <xdr:nvSpPr>
          <xdr:cNvPr id="14" name="Text Box 38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2" y="54"/>
            <a:ext cx="58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[muidu ]</a:t>
            </a:r>
          </a:p>
        </xdr:txBody>
      </xdr:sp>
      <xdr:sp macro="" textlink="">
        <xdr:nvSpPr>
          <xdr:cNvPr id="15" name="AutoShape 41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243" y="155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1</a:t>
            </a:r>
          </a:p>
        </xdr:txBody>
      </xdr:sp>
      <xdr:sp macro="" textlink="">
        <xdr:nvSpPr>
          <xdr:cNvPr id="16" name="AutoShape 4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356" y="157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2</a:t>
            </a:r>
          </a:p>
        </xdr:txBody>
      </xdr:sp>
      <xdr:sp macro="" textlink="">
        <xdr:nvSpPr>
          <xdr:cNvPr id="17" name="AutoShape 41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470" y="155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3</a:t>
            </a:r>
          </a:p>
        </xdr:txBody>
      </xdr:sp>
      <xdr:sp macro="" textlink="">
        <xdr:nvSpPr>
          <xdr:cNvPr id="18" name="AutoShape 41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84" y="155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4</a:t>
            </a:r>
          </a:p>
        </xdr:txBody>
      </xdr:sp>
      <xdr:sp macro="" textlink="">
        <xdr:nvSpPr>
          <xdr:cNvPr id="19" name="AutoShape 41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708" y="153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5</a:t>
            </a:r>
          </a:p>
        </xdr:txBody>
      </xdr:sp>
      <xdr:sp macro="" textlink="">
        <xdr:nvSpPr>
          <xdr:cNvPr id="20" name="AutoShape 41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151"/>
            <a:ext cx="121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"puudub"</a:t>
            </a:r>
          </a:p>
        </xdr:txBody>
      </xdr:sp>
      <xdr:sp macro="" textlink="">
        <xdr:nvSpPr>
          <xdr:cNvPr id="21" name="AutoShape 39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429" y="213"/>
            <a:ext cx="35" cy="28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2" name="Group 3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GrpSpPr>
            <a:grpSpLocks/>
          </xdr:cNvGrpSpPr>
        </xdr:nvGrpSpPr>
        <xdr:grpSpPr bwMode="auto">
          <a:xfrm>
            <a:off x="439" y="261"/>
            <a:ext cx="15" cy="15"/>
            <a:chOff x="534" y="252"/>
            <a:chExt cx="24" cy="24"/>
          </a:xfrm>
        </xdr:grpSpPr>
        <xdr:sp macro="" textlink="">
          <xdr:nvSpPr>
            <xdr:cNvPr id="39" name="Oval 4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4" y="252"/>
              <a:ext cx="24" cy="24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Oval 5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9" y="256"/>
              <a:ext cx="15" cy="15"/>
            </a:xfrm>
            <a:prstGeom prst="ellipse">
              <a:avLst/>
            </a:prstGeom>
            <a:solidFill>
              <a:srgbClr val="0000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cxnSp macro="">
        <xdr:nvCxnSpPr>
          <xdr:cNvPr id="23" name="AutoShape 51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>
            <a:cxnSpLocks noChangeShapeType="1"/>
            <a:stCxn id="4" idx="4"/>
            <a:endCxn id="6" idx="0"/>
          </xdr:cNvCxnSpPr>
        </xdr:nvCxnSpPr>
        <xdr:spPr bwMode="auto">
          <a:xfrm>
            <a:off x="441" y="47"/>
            <a:ext cx="0" cy="21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  <xdr:cxnSp macro="">
        <xdr:nvCxnSpPr>
          <xdr:cNvPr id="24" name="AutoShape 52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CxnSpPr>
            <a:cxnSpLocks noChangeShapeType="1"/>
            <a:stCxn id="6" idx="1"/>
            <a:endCxn id="7" idx="0"/>
          </xdr:cNvCxnSpPr>
        </xdr:nvCxnSpPr>
        <xdr:spPr bwMode="auto">
          <a:xfrm rot="10800000" flipV="1">
            <a:off x="153" y="82"/>
            <a:ext cx="270" cy="74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5" name="AutoShape 53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>
            <a:cxnSpLocks noChangeShapeType="1"/>
            <a:stCxn id="6" idx="1"/>
            <a:endCxn id="15" idx="0"/>
          </xdr:cNvCxnSpPr>
        </xdr:nvCxnSpPr>
        <xdr:spPr bwMode="auto">
          <a:xfrm rot="10800000" flipV="1">
            <a:off x="282" y="82"/>
            <a:ext cx="141" cy="7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6" name="AutoShape 54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CxnSpPr>
            <a:cxnSpLocks noChangeShapeType="1"/>
            <a:stCxn id="6" idx="2"/>
            <a:endCxn id="16" idx="0"/>
          </xdr:cNvCxnSpPr>
        </xdr:nvCxnSpPr>
        <xdr:spPr bwMode="auto">
          <a:xfrm rot="5400000">
            <a:off x="387" y="104"/>
            <a:ext cx="61" cy="46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7" name="AutoShape 55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CxnSpPr>
            <a:cxnSpLocks noChangeShapeType="1"/>
            <a:stCxn id="6" idx="2"/>
            <a:endCxn id="17" idx="0"/>
          </xdr:cNvCxnSpPr>
        </xdr:nvCxnSpPr>
        <xdr:spPr bwMode="auto">
          <a:xfrm rot="16200000" flipH="1">
            <a:off x="445" y="92"/>
            <a:ext cx="59" cy="68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8" name="AutoShape 56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CxnSpPr>
            <a:cxnSpLocks noChangeShapeType="1"/>
            <a:stCxn id="6" idx="3"/>
            <a:endCxn id="18" idx="0"/>
          </xdr:cNvCxnSpPr>
        </xdr:nvCxnSpPr>
        <xdr:spPr bwMode="auto">
          <a:xfrm>
            <a:off x="458" y="82"/>
            <a:ext cx="165" cy="7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9" name="AutoShape 57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>
            <a:cxnSpLocks noChangeShapeType="1"/>
            <a:stCxn id="6" idx="3"/>
            <a:endCxn id="19" idx="0"/>
          </xdr:cNvCxnSpPr>
        </xdr:nvCxnSpPr>
        <xdr:spPr bwMode="auto">
          <a:xfrm>
            <a:off x="458" y="82"/>
            <a:ext cx="289" cy="71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0" name="AutoShape 58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>
            <a:cxnSpLocks noChangeShapeType="1"/>
            <a:stCxn id="6" idx="3"/>
            <a:endCxn id="20" idx="0"/>
          </xdr:cNvCxnSpPr>
        </xdr:nvCxnSpPr>
        <xdr:spPr bwMode="auto">
          <a:xfrm>
            <a:off x="458" y="82"/>
            <a:ext cx="409" cy="69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1" name="AutoShape 59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CxnSpPr>
            <a:cxnSpLocks noChangeShapeType="1"/>
            <a:stCxn id="7" idx="2"/>
            <a:endCxn id="21" idx="1"/>
          </xdr:cNvCxnSpPr>
        </xdr:nvCxnSpPr>
        <xdr:spPr bwMode="auto">
          <a:xfrm rot="16200000" flipH="1">
            <a:off x="270" y="69"/>
            <a:ext cx="41" cy="27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2" name="AutoShape 60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CxnSpPr>
            <a:cxnSpLocks noChangeShapeType="1"/>
            <a:stCxn id="15" idx="2"/>
            <a:endCxn id="21" idx="1"/>
          </xdr:cNvCxnSpPr>
        </xdr:nvCxnSpPr>
        <xdr:spPr bwMode="auto">
          <a:xfrm rot="16200000" flipH="1">
            <a:off x="335" y="132"/>
            <a:ext cx="42" cy="147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3" name="AutoShape 61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>
            <a:cxnSpLocks noChangeShapeType="1"/>
            <a:stCxn id="16" idx="2"/>
            <a:endCxn id="21" idx="0"/>
          </xdr:cNvCxnSpPr>
        </xdr:nvCxnSpPr>
        <xdr:spPr bwMode="auto">
          <a:xfrm rot="16200000" flipH="1">
            <a:off x="408" y="174"/>
            <a:ext cx="26" cy="52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4" name="AutoShape 62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CxnSpPr>
            <a:cxnSpLocks noChangeShapeType="1"/>
            <a:stCxn id="17" idx="2"/>
            <a:endCxn id="21" idx="0"/>
          </xdr:cNvCxnSpPr>
        </xdr:nvCxnSpPr>
        <xdr:spPr bwMode="auto">
          <a:xfrm rot="5400000">
            <a:off x="464" y="168"/>
            <a:ext cx="28" cy="62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5" name="AutoShape 63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CxnSpPr>
            <a:cxnSpLocks noChangeShapeType="1"/>
            <a:stCxn id="18" idx="2"/>
            <a:endCxn id="21" idx="3"/>
          </xdr:cNvCxnSpPr>
        </xdr:nvCxnSpPr>
        <xdr:spPr bwMode="auto">
          <a:xfrm rot="5400000">
            <a:off x="523" y="126"/>
            <a:ext cx="42" cy="159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6" name="AutoShape 64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CxnSpPr>
            <a:cxnSpLocks noChangeShapeType="1"/>
            <a:stCxn id="19" idx="2"/>
            <a:endCxn id="21" idx="3"/>
          </xdr:cNvCxnSpPr>
        </xdr:nvCxnSpPr>
        <xdr:spPr bwMode="auto">
          <a:xfrm rot="5400000">
            <a:off x="584" y="63"/>
            <a:ext cx="44" cy="28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7" name="AutoShape 65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CxnSpPr>
            <a:cxnSpLocks noChangeShapeType="1"/>
            <a:stCxn id="20" idx="2"/>
            <a:endCxn id="21" idx="3"/>
          </xdr:cNvCxnSpPr>
        </xdr:nvCxnSpPr>
        <xdr:spPr bwMode="auto">
          <a:xfrm rot="5400000">
            <a:off x="643" y="2"/>
            <a:ext cx="46" cy="40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8" name="AutoShape 66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CxnSpPr>
            <a:cxnSpLocks noChangeShapeType="1"/>
            <a:stCxn id="21" idx="2"/>
            <a:endCxn id="40" idx="0"/>
          </xdr:cNvCxnSpPr>
        </xdr:nvCxnSpPr>
        <xdr:spPr bwMode="auto">
          <a:xfrm>
            <a:off x="447" y="241"/>
            <a:ext cx="0" cy="23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0</xdr:col>
      <xdr:colOff>9525</xdr:colOff>
      <xdr:row>0</xdr:row>
      <xdr:rowOff>19049</xdr:rowOff>
    </xdr:from>
    <xdr:to>
      <xdr:col>4</xdr:col>
      <xdr:colOff>685800</xdr:colOff>
      <xdr:row>8</xdr:row>
      <xdr:rowOff>123824</xdr:rowOff>
    </xdr:to>
    <xdr:sp macro="" textlink="">
      <xdr:nvSpPr>
        <xdr:cNvPr id="41" name="Text Box 3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>
          <a:spLocks noChangeArrowheads="1"/>
        </xdr:cNvSpPr>
      </xdr:nvSpPr>
      <xdr:spPr bwMode="auto">
        <a:xfrm>
          <a:off x="9525" y="19049"/>
          <a:ext cx="4029075" cy="1628775"/>
        </a:xfrm>
        <a:prstGeom prst="rect">
          <a:avLst/>
        </a:prstGeom>
        <a:solidFill>
          <a:srgbClr val="FFFFCC"/>
        </a:solidFill>
        <a:ln w="9525">
          <a:solidFill>
            <a:schemeClr val="bg2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On antud kontrolltöö tulemused punktides ja tabel reeglitega.</a:t>
          </a:r>
        </a:p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Kirjutada kasutajafunktsioon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hinne (punktid)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, mis punktide</a:t>
          </a:r>
          <a:b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</a:b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järgi leiab hinne.</a:t>
          </a:r>
        </a:p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Funktsiooni kirjutamisel kasutada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Select Case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-lauset.</a:t>
          </a: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spcAft>
              <a:spcPts val="300"/>
            </a:spcAft>
            <a:defRPr sz="1000"/>
          </a:pP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Tulp "Punktide arv" - tehakse lahtri</a:t>
          </a:r>
          <a:r>
            <a:rPr lang="et-EE" sz="1100" b="0" i="0" strike="noStrike" baseline="0">
              <a:solidFill>
                <a:srgbClr val="000000"/>
              </a:solidFill>
              <a:latin typeface="Arial"/>
              <a:cs typeface="Arial"/>
            </a:rPr>
            <a:t> kontroll, ehk lahtri värtus saab olla ainult </a:t>
          </a:r>
          <a:r>
            <a:rPr lang="et-EE" sz="1100" b="1" i="1" strike="noStrike" baseline="0">
              <a:solidFill>
                <a:srgbClr val="000000"/>
              </a:solidFill>
              <a:latin typeface="Arial"/>
              <a:cs typeface="Arial"/>
            </a:rPr>
            <a:t>täisarv vahemikust 0-100.</a:t>
          </a:r>
        </a:p>
        <a:p>
          <a:pPr algn="l" rtl="0">
            <a:spcAft>
              <a:spcPts val="300"/>
            </a:spcAft>
            <a:defRPr sz="1000"/>
          </a:pPr>
          <a:endParaRPr lang="en-US" sz="11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9525</xdr:colOff>
      <xdr:row>46</xdr:row>
      <xdr:rowOff>28575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4791075"/>
          <a:ext cx="2752725" cy="3457575"/>
        </a:xfrm>
        <a:prstGeom prst="rect">
          <a:avLst/>
        </a:prstGeom>
        <a:noFill/>
      </xdr:spPr>
    </xdr:pic>
    <xdr:clientData/>
  </xdr:twoCellAnchor>
  <xdr:twoCellAnchor>
    <xdr:from>
      <xdr:col>6</xdr:col>
      <xdr:colOff>9525</xdr:colOff>
      <xdr:row>26</xdr:row>
      <xdr:rowOff>133350</xdr:rowOff>
    </xdr:from>
    <xdr:to>
      <xdr:col>12</xdr:col>
      <xdr:colOff>561975</xdr:colOff>
      <xdr:row>41</xdr:row>
      <xdr:rowOff>9525</xdr:rowOff>
    </xdr:to>
    <xdr:graphicFrame macro="">
      <xdr:nvGraphicFramePr>
        <xdr:cNvPr id="42" name="Diagram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285750</xdr:colOff>
      <xdr:row>27</xdr:row>
      <xdr:rowOff>9525</xdr:rowOff>
    </xdr:from>
    <xdr:to>
      <xdr:col>15</xdr:col>
      <xdr:colOff>533400</xdr:colOff>
      <xdr:row>41</xdr:row>
      <xdr:rowOff>85725</xdr:rowOff>
    </xdr:to>
    <xdr:graphicFrame macro="">
      <xdr:nvGraphicFramePr>
        <xdr:cNvPr id="43" name="Diagram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62</xdr:row>
      <xdr:rowOff>0</xdr:rowOff>
    </xdr:from>
    <xdr:to>
      <xdr:col>8</xdr:col>
      <xdr:colOff>790575</xdr:colOff>
      <xdr:row>71</xdr:row>
      <xdr:rowOff>28575</xdr:rowOff>
    </xdr:to>
    <xdr:grpSp>
      <xdr:nvGrpSpPr>
        <xdr:cNvPr id="2" name="Do_Loop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>
          <a:grpSpLocks/>
        </xdr:cNvGrpSpPr>
      </xdr:nvGrpSpPr>
      <xdr:grpSpPr bwMode="auto">
        <a:xfrm>
          <a:off x="3274695" y="19392900"/>
          <a:ext cx="2110740" cy="2550795"/>
          <a:chOff x="433" y="1744"/>
          <a:chExt cx="216" cy="268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433" y="1756"/>
            <a:ext cx="216" cy="23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prstDash val="lgDash"/>
            <a:miter lim="800000"/>
            <a:headEnd/>
            <a:tailEnd/>
          </a:ln>
        </xdr:spPr>
      </xdr:sp>
      <xdr:sp macro="" textlink="">
        <xdr:nvSpPr>
          <xdr:cNvPr id="4" name="Rectangle 3" hidden="1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473" y="1775"/>
            <a:ext cx="127" cy="4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0000" tIns="72000" rIns="90000" bIns="46800" anchor="t" upright="1"/>
          <a:lstStyle/>
          <a:p>
            <a:pPr algn="ctr" rtl="0">
              <a:defRPr sz="1000"/>
            </a:pPr>
            <a:r>
              <a:rPr lang="et-EE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laused1</a:t>
            </a:r>
          </a:p>
        </xdr:txBody>
      </xdr:sp>
      <xdr:sp macro="" textlink="">
        <xdr:nvSpPr>
          <xdr:cNvPr id="5" name="AutoShape 4" hidden="1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496" y="1847"/>
            <a:ext cx="81" cy="29"/>
          </a:xfrm>
          <a:prstGeom prst="flowChartDecision">
            <a:avLst/>
          </a:prstGeom>
          <a:solidFill>
            <a:srgbClr val="00C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t-E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xdr:txBody>
      </xdr:sp>
      <xdr:sp macro="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474" y="1896"/>
            <a:ext cx="127" cy="4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0000" tIns="72000" rIns="90000" bIns="46800" anchor="t" upright="1"/>
          <a:lstStyle/>
          <a:p>
            <a:pPr algn="ctr" rtl="0">
              <a:defRPr sz="1000"/>
            </a:pPr>
            <a:r>
              <a:rPr lang="et-EE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laused2</a:t>
            </a:r>
          </a:p>
        </xdr:txBody>
      </xdr:sp>
      <xdr:cxnSp macro="">
        <xdr:nvCxnSpPr>
          <xdr:cNvPr id="7" name="AutoShape 6" hidden="1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>
            <a:cxnSpLocks noChangeShapeType="1"/>
            <a:stCxn id="6" idx="2"/>
            <a:endCxn id="4" idx="1"/>
          </xdr:cNvCxnSpPr>
        </xdr:nvCxnSpPr>
        <xdr:spPr bwMode="auto">
          <a:xfrm rot="16200000" flipV="1">
            <a:off x="433" y="1839"/>
            <a:ext cx="146" cy="65"/>
          </a:xfrm>
          <a:prstGeom prst="bentConnector4">
            <a:avLst>
              <a:gd name="adj1" fmla="val -11907"/>
              <a:gd name="adj2" fmla="val 136921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sp macro="" textlink="">
        <xdr:nvSpPr>
          <xdr:cNvPr id="8" name="AutoShape 7" hidden="1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1969"/>
            <a:ext cx="7" cy="11"/>
          </a:xfrm>
          <a:prstGeom prst="flowChartConnector">
            <a:avLst/>
          </a:prstGeom>
          <a:solidFill>
            <a:srgbClr val="FFFFFF"/>
          </a:solidFill>
          <a:ln w="9525">
            <a:noFill/>
            <a:round/>
            <a:headEnd/>
            <a:tailEnd/>
          </a:ln>
        </xdr:spPr>
      </xdr:sp>
      <xdr:cxnSp macro="">
        <xdr:nvCxnSpPr>
          <xdr:cNvPr id="9" name="AutoShape 8" hidden="1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>
            <a:cxnSpLocks noChangeShapeType="1"/>
            <a:stCxn id="5" idx="3"/>
            <a:endCxn id="8" idx="6"/>
          </xdr:cNvCxnSpPr>
        </xdr:nvCxnSpPr>
        <xdr:spPr bwMode="auto">
          <a:xfrm flipH="1">
            <a:off x="537" y="1862"/>
            <a:ext cx="40" cy="113"/>
          </a:xfrm>
          <a:prstGeom prst="bentConnector3">
            <a:avLst>
              <a:gd name="adj1" fmla="val -90000"/>
            </a:avLst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cxnSp>
      <xdr:sp macro="" textlink="">
        <xdr:nvSpPr>
          <xdr:cNvPr id="10" name="Line 9" hidden="1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538" y="1977"/>
            <a:ext cx="0" cy="3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1" name="Line 10" hidden="1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535" y="174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cxnSp macro="">
        <xdr:nvCxnSpPr>
          <xdr:cNvPr id="12" name="AutoShape 11" hidden="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CxnSpPr>
            <a:cxnSpLocks noChangeShapeType="1"/>
            <a:stCxn id="4" idx="2"/>
            <a:endCxn id="5" idx="0"/>
          </xdr:cNvCxnSpPr>
        </xdr:nvCxnSpPr>
        <xdr:spPr bwMode="auto">
          <a:xfrm>
            <a:off x="537" y="1824"/>
            <a:ext cx="0" cy="23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  <xdr:sp macro="" textlink="">
        <xdr:nvSpPr>
          <xdr:cNvPr id="13" name="Text Box 12" hidden="1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1842"/>
            <a:ext cx="58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t-EE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4" name="Text Box 13" hidden="1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3" y="1870"/>
            <a:ext cx="45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t-EE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cxnSp macro="">
        <xdr:nvCxnSpPr>
          <xdr:cNvPr id="15" name="AutoShape 14" hidden="1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>
            <a:cxnSpLocks noChangeShapeType="1"/>
            <a:stCxn id="5" idx="2"/>
            <a:endCxn id="6" idx="0"/>
          </xdr:cNvCxnSpPr>
        </xdr:nvCxnSpPr>
        <xdr:spPr bwMode="auto">
          <a:xfrm>
            <a:off x="537" y="1876"/>
            <a:ext cx="1" cy="2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8</xdr:col>
      <xdr:colOff>561975</xdr:colOff>
      <xdr:row>1</xdr:row>
      <xdr:rowOff>47625</xdr:rowOff>
    </xdr:from>
    <xdr:to>
      <xdr:col>10</xdr:col>
      <xdr:colOff>323850</xdr:colOff>
      <xdr:row>2</xdr:row>
      <xdr:rowOff>123825</xdr:rowOff>
    </xdr:to>
    <xdr:sp macro="[0]!kysimus" textlink="">
      <xdr:nvSpPr>
        <xdr:cNvPr id="16" name="Oval 1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>
          <a:off x="5038725" y="247650"/>
          <a:ext cx="1285875" cy="342900"/>
        </a:xfrm>
        <a:prstGeom prst="ellipse">
          <a:avLst/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t-EE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Küsimus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33</xdr:row>
      <xdr:rowOff>57150</xdr:rowOff>
    </xdr:from>
    <xdr:to>
      <xdr:col>9</xdr:col>
      <xdr:colOff>504825</xdr:colOff>
      <xdr:row>35</xdr:row>
      <xdr:rowOff>161925</xdr:rowOff>
    </xdr:to>
    <xdr:sp macro="[0]!kysimus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562725" y="8020050"/>
          <a:ext cx="466725" cy="485775"/>
        </a:xfrm>
        <a:prstGeom prst="smileyFac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t-E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28</xdr:row>
          <xdr:rowOff>22860</xdr:rowOff>
        </xdr:from>
        <xdr:to>
          <xdr:col>9</xdr:col>
          <xdr:colOff>685800</xdr:colOff>
          <xdr:row>29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Küsimus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693420</xdr:colOff>
          <xdr:row>30</xdr:row>
          <xdr:rowOff>106680</xdr:rowOff>
        </xdr:from>
        <xdr:to>
          <xdr:col>9</xdr:col>
          <xdr:colOff>678180</xdr:colOff>
          <xdr:row>31</xdr:row>
          <xdr:rowOff>182880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438150</xdr:colOff>
      <xdr:row>6</xdr:row>
      <xdr:rowOff>76200</xdr:rowOff>
    </xdr:from>
    <xdr:to>
      <xdr:col>15</xdr:col>
      <xdr:colOff>104775</xdr:colOff>
      <xdr:row>11</xdr:row>
      <xdr:rowOff>114300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/>
        </xdr:cNvGrpSpPr>
      </xdr:nvGrpSpPr>
      <xdr:grpSpPr bwMode="auto">
        <a:xfrm>
          <a:off x="5878830" y="1638300"/>
          <a:ext cx="2790825" cy="1386840"/>
          <a:chOff x="278" y="384"/>
          <a:chExt cx="285" cy="147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401" y="404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4" name="AutoShap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>
            <a:cxnSpLocks noChangeShapeType="1"/>
            <a:stCxn id="3" idx="1"/>
            <a:endCxn id="9" idx="0"/>
          </xdr:cNvCxnSpPr>
        </xdr:nvCxnSpPr>
        <xdr:spPr bwMode="auto">
          <a:xfrm rot="10800000" flipV="1">
            <a:off x="335" y="414"/>
            <a:ext cx="66" cy="30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5" name="Auto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>
            <a:cxnSpLocks noChangeShapeType="1"/>
            <a:stCxn id="3" idx="3"/>
            <a:endCxn id="6" idx="0"/>
          </xdr:cNvCxnSpPr>
        </xdr:nvCxnSpPr>
        <xdr:spPr bwMode="auto">
          <a:xfrm>
            <a:off x="435" y="414"/>
            <a:ext cx="72" cy="30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6" name="AutoShape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450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strike="noStrike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cxnSp macro="">
        <xdr:nvCxnSpPr>
          <xdr:cNvPr id="7" name="AutoShap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>
            <a:cxnSpLocks noChangeShapeType="1"/>
            <a:stCxn id="9" idx="2"/>
            <a:endCxn id="10" idx="1"/>
          </xdr:cNvCxnSpPr>
        </xdr:nvCxnSpPr>
        <xdr:spPr bwMode="auto">
          <a:xfrm rot="16200000" flipH="1">
            <a:off x="357" y="460"/>
            <a:ext cx="22" cy="65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8" name="AutoShap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>
            <a:cxnSpLocks noChangeShapeType="1"/>
            <a:stCxn id="6" idx="2"/>
            <a:endCxn id="10" idx="3"/>
          </xdr:cNvCxnSpPr>
        </xdr:nvCxnSpPr>
        <xdr:spPr bwMode="auto">
          <a:xfrm rot="5400000">
            <a:off x="460" y="456"/>
            <a:ext cx="22" cy="7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9" name="AutoShap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78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strike="noStrike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sp macro="" textlink="">
        <xdr:nvSpPr>
          <xdr:cNvPr id="10" name="AutoShap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494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11" name="AutoShape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>
            <a:cxnSpLocks noChangeShapeType="1"/>
            <a:endCxn id="3" idx="0"/>
          </xdr:cNvCxnSpPr>
        </xdr:nvCxnSpPr>
        <xdr:spPr bwMode="auto">
          <a:xfrm>
            <a:off x="418" y="384"/>
            <a:ext cx="0" cy="2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cxnSp macro="">
        <xdr:nvCxnSpPr>
          <xdr:cNvPr id="12" name="AutoShap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CxnSpPr>
            <a:cxnSpLocks noChangeShapeType="1"/>
            <a:stCxn id="10" idx="2"/>
          </xdr:cNvCxnSpPr>
        </xdr:nvCxnSpPr>
        <xdr:spPr bwMode="auto">
          <a:xfrm>
            <a:off x="417" y="513"/>
            <a:ext cx="0" cy="18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sp macro="" textlink="">
        <xdr:nvSpPr>
          <xdr:cNvPr id="13" name="Text Box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411"/>
            <a:ext cx="5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4" name="Text Box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0" y="412"/>
            <a:ext cx="33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5" name="Text Box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3" y="388"/>
            <a:ext cx="6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1" strike="noStrike">
                <a:solidFill>
                  <a:srgbClr val="000000"/>
                </a:solidFill>
                <a:latin typeface="Arial"/>
                <a:cs typeface="Arial"/>
              </a:rPr>
              <a:t>tingimus</a:t>
            </a:r>
          </a:p>
        </xdr:txBody>
      </xdr:sp>
    </xdr:grpSp>
    <xdr:clientData/>
  </xdr:twoCellAnchor>
  <xdr:twoCellAnchor>
    <xdr:from>
      <xdr:col>4</xdr:col>
      <xdr:colOff>266700</xdr:colOff>
      <xdr:row>23</xdr:row>
      <xdr:rowOff>133350</xdr:rowOff>
    </xdr:from>
    <xdr:to>
      <xdr:col>12</xdr:col>
      <xdr:colOff>419100</xdr:colOff>
      <xdr:row>36</xdr:row>
      <xdr:rowOff>104775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>
          <a:grpSpLocks/>
        </xdr:cNvGrpSpPr>
      </xdr:nvGrpSpPr>
      <xdr:grpSpPr bwMode="auto">
        <a:xfrm>
          <a:off x="2461260" y="5634990"/>
          <a:ext cx="4648200" cy="2569845"/>
          <a:chOff x="261" y="78"/>
          <a:chExt cx="473" cy="257"/>
        </a:xfrm>
      </xdr:grpSpPr>
      <xdr:sp macro="" textlink="">
        <xdr:nvSpPr>
          <xdr:cNvPr id="17" name="Text Box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4" y="94"/>
            <a:ext cx="117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[kriteerium-1]</a:t>
            </a:r>
          </a:p>
        </xdr:txBody>
      </xdr:sp>
      <xdr:sp macro="" textlink="">
        <xdr:nvSpPr>
          <xdr:cNvPr id="18" name="AutoShape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106"/>
            <a:ext cx="61" cy="34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19" name="AutoShap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3" y="78"/>
            <a:ext cx="0" cy="28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 type="triangle" w="med" len="med"/>
          </a:ln>
        </xdr:spPr>
      </xdr:cxnSp>
      <xdr:sp macro="" textlink="">
        <xdr:nvSpPr>
          <xdr:cNvPr id="20" name="AutoShape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261" y="203"/>
            <a:ext cx="96" cy="26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laused -1</a:t>
            </a:r>
          </a:p>
        </xdr:txBody>
      </xdr:sp>
      <xdr:sp macro="" textlink="">
        <xdr:nvSpPr>
          <xdr:cNvPr id="21" name="AutoShape 20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203"/>
            <a:ext cx="93" cy="26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laused -2</a:t>
            </a:r>
          </a:p>
        </xdr:txBody>
      </xdr:sp>
      <xdr:sp macro="" textlink="">
        <xdr:nvSpPr>
          <xdr:cNvPr id="22" name="AutoShap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12" y="203"/>
            <a:ext cx="93" cy="26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laused -n</a:t>
            </a:r>
          </a:p>
        </xdr:txBody>
      </xdr:sp>
      <xdr:sp macro="" textlink="">
        <xdr:nvSpPr>
          <xdr:cNvPr id="23" name="AutoShape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616" y="202"/>
            <a:ext cx="118" cy="27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else_laused</a:t>
            </a:r>
          </a:p>
        </xdr:txBody>
      </xdr:sp>
      <xdr:cxnSp macro="">
        <xdr:nvCxnSpPr>
          <xdr:cNvPr id="24" name="AutoShape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CxnSpPr>
            <a:cxnSpLocks noChangeShapeType="1"/>
            <a:stCxn id="18" idx="1"/>
            <a:endCxn id="20" idx="0"/>
          </xdr:cNvCxnSpPr>
        </xdr:nvCxnSpPr>
        <xdr:spPr bwMode="auto">
          <a:xfrm rot="10800000" flipV="1">
            <a:off x="309" y="123"/>
            <a:ext cx="153" cy="80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5" name="AutoShap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>
            <a:cxnSpLocks noChangeShapeType="1"/>
            <a:stCxn id="18" idx="2"/>
            <a:endCxn id="21" idx="0"/>
          </xdr:cNvCxnSpPr>
        </xdr:nvCxnSpPr>
        <xdr:spPr bwMode="auto">
          <a:xfrm rot="5400000">
            <a:off x="422" y="132"/>
            <a:ext cx="63" cy="79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6" name="AutoShape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>
            <a:cxnSpLocks noChangeShapeType="1"/>
            <a:stCxn id="18" idx="2"/>
            <a:endCxn id="22" idx="0"/>
          </xdr:cNvCxnSpPr>
        </xdr:nvCxnSpPr>
        <xdr:spPr bwMode="auto">
          <a:xfrm rot="16200000" flipH="1">
            <a:off x="495" y="138"/>
            <a:ext cx="63" cy="67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7" name="AutoShape 26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CxnSpPr>
            <a:cxnSpLocks noChangeShapeType="1"/>
            <a:stCxn id="18" idx="3"/>
            <a:endCxn id="23" idx="0"/>
          </xdr:cNvCxnSpPr>
        </xdr:nvCxnSpPr>
        <xdr:spPr bwMode="auto">
          <a:xfrm>
            <a:off x="523" y="123"/>
            <a:ext cx="152" cy="79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sp macro="" textlink="">
        <xdr:nvSpPr>
          <xdr:cNvPr id="28" name="Text Box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2" y="154"/>
            <a:ext cx="114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[kriteerium-2]</a:t>
            </a:r>
          </a:p>
        </xdr:txBody>
      </xdr:sp>
      <xdr:sp macro="" textlink="">
        <xdr:nvSpPr>
          <xdr:cNvPr id="29" name="Text Box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8" y="203"/>
            <a:ext cx="27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000000"/>
                </a:solidFill>
                <a:latin typeface="Arial"/>
                <a:cs typeface="Arial"/>
              </a:rPr>
              <a:t>...</a:t>
            </a:r>
          </a:p>
        </xdr:txBody>
      </xdr:sp>
      <xdr:sp macro="" textlink="">
        <xdr:nvSpPr>
          <xdr:cNvPr id="30" name="Text Box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1" y="94"/>
            <a:ext cx="138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[vastasel juhul]</a:t>
            </a:r>
          </a:p>
        </xdr:txBody>
      </xdr:sp>
      <xdr:sp macro="" textlink="">
        <xdr:nvSpPr>
          <xdr:cNvPr id="31" name="Text Box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1" y="155"/>
            <a:ext cx="114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[kriteerium-n]</a:t>
            </a:r>
          </a:p>
        </xdr:txBody>
      </xdr:sp>
      <xdr:sp macro="" textlink="">
        <xdr:nvSpPr>
          <xdr:cNvPr id="32" name="AutoShape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276"/>
            <a:ext cx="61" cy="34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33" name="AutoShape 32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CxnSpPr>
            <a:cxnSpLocks noChangeShapeType="1"/>
            <a:stCxn id="20" idx="2"/>
            <a:endCxn id="32" idx="1"/>
          </xdr:cNvCxnSpPr>
        </xdr:nvCxnSpPr>
        <xdr:spPr bwMode="auto">
          <a:xfrm rot="16200000" flipH="1">
            <a:off x="354" y="184"/>
            <a:ext cx="64" cy="153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4" name="AutoShap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CxnSpPr>
            <a:cxnSpLocks noChangeShapeType="1"/>
            <a:stCxn id="21" idx="2"/>
          </xdr:cNvCxnSpPr>
        </xdr:nvCxnSpPr>
        <xdr:spPr bwMode="auto">
          <a:xfrm>
            <a:off x="414" y="229"/>
            <a:ext cx="0" cy="65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cxnSp>
      <xdr:cxnSp macro="">
        <xdr:nvCxnSpPr>
          <xdr:cNvPr id="35" name="AutoShape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>
            <a:cxnSpLocks noChangeShapeType="1"/>
            <a:stCxn id="23" idx="2"/>
            <a:endCxn id="32" idx="3"/>
          </xdr:cNvCxnSpPr>
        </xdr:nvCxnSpPr>
        <xdr:spPr bwMode="auto">
          <a:xfrm rot="5400000">
            <a:off x="567" y="185"/>
            <a:ext cx="64" cy="152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6" name="AutoShape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CxnSpPr>
            <a:cxnSpLocks noChangeShapeType="1"/>
            <a:stCxn id="22" idx="2"/>
          </xdr:cNvCxnSpPr>
        </xdr:nvCxnSpPr>
        <xdr:spPr bwMode="auto">
          <a:xfrm>
            <a:off x="560" y="229"/>
            <a:ext cx="0" cy="64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cxnSp>
      <xdr:cxnSp macro="">
        <xdr:nvCxnSpPr>
          <xdr:cNvPr id="37" name="AutoShap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CxnSpPr>
            <a:cxnSpLocks noChangeShapeType="1"/>
            <a:stCxn id="32" idx="2"/>
          </xdr:cNvCxnSpPr>
        </xdr:nvCxnSpPr>
        <xdr:spPr bwMode="auto">
          <a:xfrm>
            <a:off x="493" y="310"/>
            <a:ext cx="0" cy="25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1</xdr:col>
      <xdr:colOff>209550</xdr:colOff>
      <xdr:row>13</xdr:row>
      <xdr:rowOff>9525</xdr:rowOff>
    </xdr:from>
    <xdr:to>
      <xdr:col>3</xdr:col>
      <xdr:colOff>590550</xdr:colOff>
      <xdr:row>22</xdr:row>
      <xdr:rowOff>152400</xdr:rowOff>
    </xdr:to>
    <xdr:sp macro="" textlink="">
      <xdr:nvSpPr>
        <xdr:cNvPr id="38" name="Text Box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>
          <a:spLocks noChangeArrowheads="1"/>
        </xdr:cNvSpPr>
      </xdr:nvSpPr>
      <xdr:spPr bwMode="auto">
        <a:xfrm>
          <a:off x="523875" y="3400425"/>
          <a:ext cx="1600200" cy="21621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108000" tIns="82800" rIns="18000" bIns="10800" anchor="t" upright="1"/>
        <a:lstStyle/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If</a:t>
          </a:r>
          <a:r>
            <a:rPr lang="en-US" sz="1200" b="0" i="0" strike="noStrike">
              <a:solidFill>
                <a:srgbClr val="0000FF"/>
              </a:solidFill>
              <a:latin typeface="Arial"/>
              <a:cs typeface="Arial"/>
            </a:rPr>
            <a:t> </a:t>
          </a:r>
          <a:r>
            <a:rPr lang="en-US" sz="1200" b="0" i="1" strike="noStrike">
              <a:solidFill>
                <a:srgbClr val="000000"/>
              </a:solidFill>
              <a:latin typeface="Arial"/>
              <a:cs typeface="Arial"/>
            </a:rPr>
            <a:t>ting_1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 laused_1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strike="noStrike">
              <a:solidFill>
                <a:srgbClr val="000000"/>
              </a:solidFill>
              <a:latin typeface="Arial"/>
              <a:cs typeface="Arial"/>
            </a:rPr>
            <a:t>ting_2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laused_2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...</a:t>
          </a: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strike="noStrike">
              <a:solidFill>
                <a:srgbClr val="000000"/>
              </a:solidFill>
              <a:latin typeface="Arial"/>
              <a:cs typeface="Arial"/>
            </a:rPr>
            <a:t>ting_n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laused_n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Else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laused_E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End If</a:t>
          </a:r>
        </a:p>
      </xdr:txBody>
    </xdr:sp>
    <xdr:clientData/>
  </xdr:twoCellAnchor>
  <xdr:twoCellAnchor>
    <xdr:from>
      <xdr:col>4</xdr:col>
      <xdr:colOff>228600</xdr:colOff>
      <xdr:row>13</xdr:row>
      <xdr:rowOff>19050</xdr:rowOff>
    </xdr:from>
    <xdr:to>
      <xdr:col>12</xdr:col>
      <xdr:colOff>104775</xdr:colOff>
      <xdr:row>22</xdr:row>
      <xdr:rowOff>171450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>
          <a:grpSpLocks/>
        </xdr:cNvGrpSpPr>
      </xdr:nvGrpSpPr>
      <xdr:grpSpPr bwMode="auto">
        <a:xfrm>
          <a:off x="2423160" y="3371850"/>
          <a:ext cx="4371975" cy="2110740"/>
          <a:chOff x="273" y="715"/>
          <a:chExt cx="508" cy="273"/>
        </a:xfrm>
      </xdr:grpSpPr>
      <xdr:sp macro="" textlink="">
        <xdr:nvSpPr>
          <xdr:cNvPr id="40" name="AutoShap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413" y="735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Text Box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" y="720"/>
            <a:ext cx="4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strike="noStrike">
                <a:solidFill>
                  <a:srgbClr val="000000"/>
                </a:solidFill>
                <a:latin typeface="Arial"/>
                <a:cs typeface="Arial"/>
              </a:rPr>
              <a:t>ting_1</a:t>
            </a:r>
          </a:p>
        </xdr:txBody>
      </xdr:sp>
      <xdr:sp macro="" textlink="">
        <xdr:nvSpPr>
          <xdr:cNvPr id="42" name="AutoShape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>
            <a:spLocks noChangeArrowheads="1"/>
          </xdr:cNvSpPr>
        </xdr:nvSpPr>
        <xdr:spPr bwMode="auto">
          <a:xfrm>
            <a:off x="507" y="781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 Box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7" y="744"/>
            <a:ext cx="58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44" name="AutoShape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273" y="781"/>
            <a:ext cx="120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cxnSp macro="">
        <xdr:nvCxnSpPr>
          <xdr:cNvPr id="45" name="AutoShape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>
            <a:cxnSpLocks noChangeShapeType="1"/>
            <a:endCxn id="40" idx="0"/>
          </xdr:cNvCxnSpPr>
        </xdr:nvCxnSpPr>
        <xdr:spPr bwMode="auto">
          <a:xfrm>
            <a:off x="430" y="715"/>
            <a:ext cx="0" cy="2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cxnSp macro="">
        <xdr:nvCxnSpPr>
          <xdr:cNvPr id="46" name="AutoShap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CxnSpPr>
            <a:cxnSpLocks noChangeShapeType="1"/>
            <a:stCxn id="40" idx="3"/>
            <a:endCxn id="42" idx="0"/>
          </xdr:cNvCxnSpPr>
        </xdr:nvCxnSpPr>
        <xdr:spPr bwMode="auto">
          <a:xfrm>
            <a:off x="447" y="745"/>
            <a:ext cx="77" cy="3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47" name="Text Box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765"/>
            <a:ext cx="6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100" b="0" i="1" strike="noStrike">
                <a:solidFill>
                  <a:srgbClr val="000000"/>
                </a:solidFill>
                <a:latin typeface="Arial"/>
                <a:cs typeface="Arial"/>
              </a:rPr>
              <a:t>ting</a:t>
            </a:r>
            <a:r>
              <a:rPr lang="en-US" sz="1400" b="0" i="1" strike="noStrike">
                <a:solidFill>
                  <a:srgbClr val="000000"/>
                </a:solidFill>
                <a:latin typeface="Arial"/>
                <a:cs typeface="Arial"/>
              </a:rPr>
              <a:t>_2</a:t>
            </a:r>
          </a:p>
        </xdr:txBody>
      </xdr:sp>
      <xdr:sp macro="" textlink="">
        <xdr:nvSpPr>
          <xdr:cNvPr id="48" name="AutoShape 47"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834"/>
            <a:ext cx="119" cy="37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sp macro="" textlink="">
        <xdr:nvSpPr>
          <xdr:cNvPr id="49" name="Text Box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3" y="721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50" name="AutoShape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40" y="842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51" name="AutoShape 50">
            <a:extLst>
              <a:ext uri="{FF2B5EF4-FFF2-40B4-BE49-F238E27FC236}">
                <a16:creationId xmlns:a16="http://schemas.microsoft.com/office/drawing/2014/main" id="{00000000-0008-0000-0900-000033000000}"/>
              </a:ext>
            </a:extLst>
          </xdr:cNvPr>
          <xdr:cNvCxnSpPr>
            <a:cxnSpLocks noChangeShapeType="1"/>
            <a:stCxn id="42" idx="3"/>
            <a:endCxn id="50" idx="0"/>
          </xdr:cNvCxnSpPr>
        </xdr:nvCxnSpPr>
        <xdr:spPr bwMode="auto">
          <a:xfrm>
            <a:off x="541" y="791"/>
            <a:ext cx="116" cy="51"/>
          </a:xfrm>
          <a:prstGeom prst="bentConnector2">
            <a:avLst/>
          </a:prstGeom>
          <a:noFill/>
          <a:ln w="9525">
            <a:solidFill>
              <a:srgbClr val="000000"/>
            </a:solidFill>
            <a:prstDash val="lgDash"/>
            <a:miter lim="800000"/>
            <a:headEnd/>
            <a:tailEnd type="arrow" w="sm" len="med"/>
          </a:ln>
        </xdr:spPr>
      </xdr:cxnSp>
      <xdr:sp macro="" textlink="">
        <xdr:nvSpPr>
          <xdr:cNvPr id="52" name="AutoShap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503" y="895"/>
            <a:ext cx="120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laused_n</a:t>
            </a:r>
          </a:p>
        </xdr:txBody>
      </xdr:sp>
      <xdr:sp macro="" textlink="">
        <xdr:nvSpPr>
          <xdr:cNvPr id="53" name="Text Box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6" y="768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54" name="AutoShape 53">
            <a:extLst>
              <a:ext uri="{FF2B5EF4-FFF2-40B4-BE49-F238E27FC236}">
                <a16:creationId xmlns:a16="http://schemas.microsoft.com/office/drawing/2014/main" id="{00000000-0008-0000-09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895"/>
            <a:ext cx="120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laused_E</a:t>
            </a:r>
          </a:p>
        </xdr:txBody>
      </xdr:sp>
      <xdr:cxnSp macro="">
        <xdr:nvCxnSpPr>
          <xdr:cNvPr id="55" name="AutoShap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CxnSpPr>
            <a:cxnSpLocks noChangeShapeType="1"/>
            <a:stCxn id="50" idx="3"/>
            <a:endCxn id="54" idx="0"/>
          </xdr:cNvCxnSpPr>
        </xdr:nvCxnSpPr>
        <xdr:spPr bwMode="auto">
          <a:xfrm>
            <a:off x="674" y="852"/>
            <a:ext cx="47" cy="4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56" name="AutoShape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>
            <a:cxnSpLocks noChangeShapeType="1"/>
            <a:stCxn id="50" idx="1"/>
            <a:endCxn id="52" idx="0"/>
          </xdr:cNvCxnSpPr>
        </xdr:nvCxnSpPr>
        <xdr:spPr bwMode="auto">
          <a:xfrm rot="10800000" flipV="1">
            <a:off x="563" y="852"/>
            <a:ext cx="77" cy="4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57" name="AutoShape 56">
            <a:extLst>
              <a:ext uri="{FF2B5EF4-FFF2-40B4-BE49-F238E27FC236}">
                <a16:creationId xmlns:a16="http://schemas.microsoft.com/office/drawing/2014/main" id="{00000000-0008-0000-0900-000039000000}"/>
              </a:ext>
            </a:extLst>
          </xdr:cNvPr>
          <xdr:cNvCxnSpPr>
            <a:cxnSpLocks noChangeShapeType="1"/>
            <a:stCxn id="54" idx="2"/>
            <a:endCxn id="58" idx="3"/>
          </xdr:cNvCxnSpPr>
        </xdr:nvCxnSpPr>
        <xdr:spPr bwMode="auto">
          <a:xfrm rot="5400000">
            <a:off x="569" y="808"/>
            <a:ext cx="27" cy="277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58" name="AutoShap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410" y="950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59" name="AutoShape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>
            <a:cxnSpLocks noChangeShapeType="1"/>
            <a:stCxn id="42" idx="1"/>
            <a:endCxn id="48" idx="0"/>
          </xdr:cNvCxnSpPr>
        </xdr:nvCxnSpPr>
        <xdr:spPr bwMode="auto">
          <a:xfrm rot="10800000" flipV="1">
            <a:off x="427" y="791"/>
            <a:ext cx="80" cy="42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60" name="AutoShape 59">
            <a:extLst>
              <a:ext uri="{FF2B5EF4-FFF2-40B4-BE49-F238E27FC236}">
                <a16:creationId xmlns:a16="http://schemas.microsoft.com/office/drawing/2014/main" id="{00000000-0008-0000-0900-00003C000000}"/>
              </a:ext>
            </a:extLst>
          </xdr:cNvPr>
          <xdr:cNvCxnSpPr>
            <a:cxnSpLocks noChangeShapeType="1"/>
            <a:stCxn id="40" idx="1"/>
            <a:endCxn id="44" idx="0"/>
          </xdr:cNvCxnSpPr>
        </xdr:nvCxnSpPr>
        <xdr:spPr bwMode="auto">
          <a:xfrm rot="10800000" flipV="1">
            <a:off x="334" y="745"/>
            <a:ext cx="79" cy="3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61" name="AutoShap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CxnSpPr>
            <a:cxnSpLocks noChangeShapeType="1"/>
            <a:stCxn id="44" idx="2"/>
            <a:endCxn id="58" idx="1"/>
          </xdr:cNvCxnSpPr>
        </xdr:nvCxnSpPr>
        <xdr:spPr bwMode="auto">
          <a:xfrm rot="16200000" flipH="1">
            <a:off x="301" y="852"/>
            <a:ext cx="141" cy="7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62" name="AutoShape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>
            <a:cxnSpLocks noChangeShapeType="1"/>
            <a:stCxn id="48" idx="2"/>
            <a:endCxn id="58" idx="0"/>
          </xdr:cNvCxnSpPr>
        </xdr:nvCxnSpPr>
        <xdr:spPr bwMode="auto">
          <a:xfrm>
            <a:off x="427" y="871"/>
            <a:ext cx="0" cy="79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cxnSp macro="">
        <xdr:nvCxnSpPr>
          <xdr:cNvPr id="63" name="AutoShape 62">
            <a:extLst>
              <a:ext uri="{FF2B5EF4-FFF2-40B4-BE49-F238E27FC236}">
                <a16:creationId xmlns:a16="http://schemas.microsoft.com/office/drawing/2014/main" id="{00000000-0008-0000-0900-00003F000000}"/>
              </a:ext>
            </a:extLst>
          </xdr:cNvPr>
          <xdr:cNvCxnSpPr>
            <a:cxnSpLocks noChangeShapeType="1"/>
            <a:stCxn id="58" idx="2"/>
          </xdr:cNvCxnSpPr>
        </xdr:nvCxnSpPr>
        <xdr:spPr bwMode="auto">
          <a:xfrm>
            <a:off x="427" y="969"/>
            <a:ext cx="0" cy="19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sp macro="" textlink="">
        <xdr:nvSpPr>
          <xdr:cNvPr id="64" name="Text Box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824"/>
            <a:ext cx="4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strike="noStrike">
                <a:solidFill>
                  <a:srgbClr val="000000"/>
                </a:solidFill>
                <a:latin typeface="Arial"/>
                <a:cs typeface="Arial"/>
              </a:rPr>
              <a:t>ting_n</a:t>
            </a:r>
          </a:p>
        </xdr:txBody>
      </xdr:sp>
      <xdr:sp macro="" textlink="">
        <xdr:nvSpPr>
          <xdr:cNvPr id="65" name="Text Box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82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66" name="Text Box 65">
            <a:extLst>
              <a:ext uri="{FF2B5EF4-FFF2-40B4-BE49-F238E27FC236}">
                <a16:creationId xmlns:a16="http://schemas.microsoft.com/office/drawing/2014/main" id="{00000000-0008-0000-0900-00004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0" y="790"/>
            <a:ext cx="58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67" name="Text Box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6" y="852"/>
            <a:ext cx="58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cxnSp macro="">
        <xdr:nvCxnSpPr>
          <xdr:cNvPr id="68" name="AutoShape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>
            <a:cxnSpLocks noChangeShapeType="1"/>
            <a:stCxn id="52" idx="2"/>
            <a:endCxn id="58" idx="0"/>
          </xdr:cNvCxnSpPr>
        </xdr:nvCxnSpPr>
        <xdr:spPr bwMode="auto">
          <a:xfrm rot="5400000">
            <a:off x="486" y="874"/>
            <a:ext cx="17" cy="136"/>
          </a:xfrm>
          <a:prstGeom prst="bentConnector3">
            <a:avLst>
              <a:gd name="adj1" fmla="val 90907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arrow" w="med" len="med"/>
          </a:ln>
        </xdr:spPr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laptop/Desktop/Book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igu_Objekt"/>
      <sheetName val="Arva Arv"/>
    </sheetNames>
    <sheetDataSet>
      <sheetData sheetId="0"/>
      <sheetData sheetId="1">
        <row r="20">
          <cell r="B20">
            <v>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_1"/>
      <sheetName val="Y_2"/>
      <sheetName val="Y_3"/>
      <sheetName val="Y_4 (2)"/>
      <sheetName val="Y_4"/>
      <sheetName val="Lisad"/>
      <sheetName val="VBA_üld "/>
      <sheetName val="VBA_red"/>
      <sheetName val="VBA_Inter"/>
      <sheetName val="Laused"/>
    </sheetNames>
    <sheetDataSet>
      <sheetData sheetId="0"/>
      <sheetData sheetId="1">
        <row r="7">
          <cell r="H7">
            <v>0.12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B050"/>
  </sheetPr>
  <dimension ref="A1:B20"/>
  <sheetViews>
    <sheetView workbookViewId="0">
      <selection activeCell="C5" sqref="C5"/>
    </sheetView>
  </sheetViews>
  <sheetFormatPr defaultRowHeight="14.4" x14ac:dyDescent="0.3"/>
  <cols>
    <col min="2" max="2" width="48.33203125" bestFit="1" customWidth="1"/>
    <col min="3" max="3" width="34.6640625" bestFit="1" customWidth="1"/>
  </cols>
  <sheetData>
    <row r="1" spans="1:2" ht="17.399999999999999" x14ac:dyDescent="0.3">
      <c r="A1" s="163" t="s">
        <v>175</v>
      </c>
    </row>
    <row r="2" spans="1:2" x14ac:dyDescent="0.3">
      <c r="A2">
        <v>1</v>
      </c>
      <c r="B2" s="164" t="s">
        <v>176</v>
      </c>
    </row>
    <row r="3" spans="1:2" x14ac:dyDescent="0.3">
      <c r="B3" s="164" t="s">
        <v>177</v>
      </c>
    </row>
    <row r="5" spans="1:2" ht="15.6" x14ac:dyDescent="0.3">
      <c r="A5">
        <v>2</v>
      </c>
      <c r="B5" s="165" t="s">
        <v>178</v>
      </c>
    </row>
    <row r="7" spans="1:2" x14ac:dyDescent="0.3">
      <c r="A7">
        <v>3</v>
      </c>
      <c r="B7" s="166" t="s">
        <v>179</v>
      </c>
    </row>
    <row r="9" spans="1:2" x14ac:dyDescent="0.3">
      <c r="A9">
        <v>4</v>
      </c>
      <c r="B9" s="166" t="s">
        <v>180</v>
      </c>
    </row>
    <row r="10" spans="1:2" x14ac:dyDescent="0.3">
      <c r="B10" s="166" t="s">
        <v>181</v>
      </c>
    </row>
    <row r="12" spans="1:2" x14ac:dyDescent="0.3">
      <c r="A12">
        <v>5</v>
      </c>
      <c r="B12" s="168" t="s">
        <v>182</v>
      </c>
    </row>
    <row r="13" spans="1:2" x14ac:dyDescent="0.3">
      <c r="B13" s="167" t="s">
        <v>183</v>
      </c>
    </row>
    <row r="15" spans="1:2" x14ac:dyDescent="0.3">
      <c r="B15" s="168" t="s">
        <v>184</v>
      </c>
    </row>
    <row r="16" spans="1:2" x14ac:dyDescent="0.3">
      <c r="B16" t="s">
        <v>185</v>
      </c>
    </row>
    <row r="18" spans="2:2" x14ac:dyDescent="0.3">
      <c r="B18" t="s">
        <v>186</v>
      </c>
    </row>
    <row r="20" spans="2:2" x14ac:dyDescent="0.3">
      <c r="B20" t="s">
        <v>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G17"/>
  <sheetViews>
    <sheetView showGridLines="0" workbookViewId="0">
      <selection activeCell="H3" sqref="H3"/>
    </sheetView>
  </sheetViews>
  <sheetFormatPr defaultRowHeight="14.4" x14ac:dyDescent="0.3"/>
  <cols>
    <col min="1" max="1" width="23.33203125" bestFit="1" customWidth="1"/>
    <col min="2" max="2" width="13.88671875" customWidth="1"/>
    <col min="4" max="4" width="14.44140625" customWidth="1"/>
    <col min="5" max="5" width="10.88671875" customWidth="1"/>
    <col min="6" max="6" width="4.109375" customWidth="1"/>
  </cols>
  <sheetData>
    <row r="2" spans="1:7" x14ac:dyDescent="0.3">
      <c r="G2" s="36" t="s">
        <v>52</v>
      </c>
    </row>
    <row r="3" spans="1:7" x14ac:dyDescent="0.3">
      <c r="G3" s="37">
        <v>20</v>
      </c>
    </row>
    <row r="5" spans="1:7" x14ac:dyDescent="0.3">
      <c r="G5" s="38" t="s">
        <v>54</v>
      </c>
    </row>
    <row r="6" spans="1:7" ht="28.8" x14ac:dyDescent="0.3">
      <c r="A6" s="22" t="s">
        <v>46</v>
      </c>
      <c r="B6" s="23" t="s">
        <v>49</v>
      </c>
      <c r="C6" s="22" t="s">
        <v>51</v>
      </c>
      <c r="D6" s="23" t="s">
        <v>47</v>
      </c>
      <c r="E6" s="22" t="s">
        <v>50</v>
      </c>
    </row>
    <row r="7" spans="1:7" x14ac:dyDescent="0.3">
      <c r="A7" s="21" t="s">
        <v>35</v>
      </c>
      <c r="B7" s="19">
        <v>3.19</v>
      </c>
      <c r="C7" s="10" t="s">
        <v>48</v>
      </c>
      <c r="D7" s="20">
        <f>hind_maksuta(B7,Protsent)</f>
        <v>2.6583333333333332</v>
      </c>
      <c r="E7" s="20">
        <f>maks(B7,Protsent)</f>
        <v>0.53166666666666673</v>
      </c>
    </row>
    <row r="8" spans="1:7" x14ac:dyDescent="0.3">
      <c r="A8" s="21" t="s">
        <v>36</v>
      </c>
      <c r="B8" s="19">
        <v>3.77</v>
      </c>
      <c r="C8" s="10" t="s">
        <v>48</v>
      </c>
      <c r="D8" s="20">
        <f>hind_maksuta(B8,Protsent)</f>
        <v>3.1416666666666666</v>
      </c>
      <c r="E8" s="20">
        <f>maks(B8,Protsent)</f>
        <v>0.62833333333333341</v>
      </c>
    </row>
    <row r="9" spans="1:7" x14ac:dyDescent="0.3">
      <c r="A9" s="21" t="s">
        <v>37</v>
      </c>
      <c r="B9" s="19">
        <v>3.19</v>
      </c>
      <c r="C9" s="10" t="s">
        <v>48</v>
      </c>
      <c r="D9" s="20">
        <f>hind_maksuta(B9,Protsent)</f>
        <v>2.6583333333333332</v>
      </c>
      <c r="E9" s="20">
        <f>maks(B9,Protsent)</f>
        <v>0.53166666666666673</v>
      </c>
    </row>
    <row r="10" spans="1:7" x14ac:dyDescent="0.3">
      <c r="A10" s="21" t="s">
        <v>38</v>
      </c>
      <c r="B10" s="19">
        <v>2.87</v>
      </c>
      <c r="C10" s="10" t="s">
        <v>48</v>
      </c>
      <c r="D10" s="20">
        <f>hind_maksuta(B10,Protsent)</f>
        <v>2.3916666666666671</v>
      </c>
      <c r="E10" s="20">
        <f>maks(B10,Protsent)</f>
        <v>0.47833333333333306</v>
      </c>
    </row>
    <row r="11" spans="1:7" x14ac:dyDescent="0.3">
      <c r="A11" s="21" t="s">
        <v>39</v>
      </c>
      <c r="B11" s="19">
        <v>6.99</v>
      </c>
      <c r="C11" s="10" t="s">
        <v>48</v>
      </c>
      <c r="D11" s="20">
        <f>hind_maksuta(B11,Protsent)</f>
        <v>5.8250000000000002</v>
      </c>
      <c r="E11" s="20">
        <f>maks(B11,Protsent)</f>
        <v>1.165</v>
      </c>
    </row>
    <row r="12" spans="1:7" x14ac:dyDescent="0.3">
      <c r="A12" s="21" t="s">
        <v>40</v>
      </c>
      <c r="B12" s="19">
        <v>4.5999999999999996</v>
      </c>
      <c r="C12" s="10" t="s">
        <v>48</v>
      </c>
      <c r="D12" s="20">
        <f>hind_maksuta(B12,Protsent)</f>
        <v>3.833333333333333</v>
      </c>
      <c r="E12" s="20">
        <f>maks(B12,Protsent)</f>
        <v>0.76666666666666661</v>
      </c>
    </row>
    <row r="13" spans="1:7" x14ac:dyDescent="0.3">
      <c r="A13" s="21" t="s">
        <v>41</v>
      </c>
      <c r="B13" s="19">
        <v>4.41</v>
      </c>
      <c r="C13" s="10" t="s">
        <v>48</v>
      </c>
      <c r="D13" s="20">
        <f>hind_maksuta(B13,Protsent)</f>
        <v>3.6750000000000003</v>
      </c>
      <c r="E13" s="20">
        <f>maks(B13,Protsent)</f>
        <v>0.73499999999999988</v>
      </c>
    </row>
    <row r="14" spans="1:7" x14ac:dyDescent="0.3">
      <c r="A14" s="21" t="s">
        <v>42</v>
      </c>
      <c r="B14" s="19">
        <v>2.74</v>
      </c>
      <c r="C14" s="10" t="s">
        <v>48</v>
      </c>
      <c r="D14" s="20">
        <f>hind_maksuta(B14,Protsent)</f>
        <v>2.2833333333333337</v>
      </c>
      <c r="E14" s="20">
        <f>maks(B14,Protsent)</f>
        <v>0.45666666666666655</v>
      </c>
    </row>
    <row r="15" spans="1:7" x14ac:dyDescent="0.3">
      <c r="A15" s="21" t="s">
        <v>43</v>
      </c>
      <c r="B15" s="19">
        <v>6.97</v>
      </c>
      <c r="C15" s="10" t="s">
        <v>48</v>
      </c>
      <c r="D15" s="20">
        <f>hind_maksuta(B15,Protsent)</f>
        <v>5.8083333333333336</v>
      </c>
      <c r="E15" s="20">
        <f>maks(B15,Protsent)</f>
        <v>1.1616666666666662</v>
      </c>
    </row>
    <row r="16" spans="1:7" x14ac:dyDescent="0.3">
      <c r="A16" s="21" t="s">
        <v>44</v>
      </c>
      <c r="B16" s="19">
        <v>8.31</v>
      </c>
      <c r="C16" s="10" t="s">
        <v>48</v>
      </c>
      <c r="D16" s="20">
        <f>hind_maksuta(B16,Protsent)</f>
        <v>6.9250000000000007</v>
      </c>
      <c r="E16" s="20">
        <f>maks(B16,Protsent)</f>
        <v>1.3849999999999998</v>
      </c>
    </row>
    <row r="17" spans="1:5" x14ac:dyDescent="0.3">
      <c r="A17" s="21" t="s">
        <v>45</v>
      </c>
      <c r="B17" s="19">
        <v>7.61</v>
      </c>
      <c r="C17" s="10" t="s">
        <v>48</v>
      </c>
      <c r="D17" s="20">
        <f>hind_maksuta(B17,Protsent)</f>
        <v>6.3416666666666668</v>
      </c>
      <c r="E17" s="20">
        <f>maks(B17,Protsent)</f>
        <v>1.2683333333333335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hind_kmita">
                <anchor moveWithCells="1">
                  <from>
                    <xdr:col>7</xdr:col>
                    <xdr:colOff>327660</xdr:colOff>
                    <xdr:row>1</xdr:row>
                    <xdr:rowOff>106680</xdr:rowOff>
                  </from>
                  <to>
                    <xdr:col>8</xdr:col>
                    <xdr:colOff>579120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_y_1">
                <anchor moveWithCells="1" sizeWithCells="1">
                  <from>
                    <xdr:col>9</xdr:col>
                    <xdr:colOff>541020</xdr:colOff>
                    <xdr:row>1</xdr:row>
                    <xdr:rowOff>114300</xdr:rowOff>
                  </from>
                  <to>
                    <xdr:col>11</xdr:col>
                    <xdr:colOff>327660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5:H21"/>
  <sheetViews>
    <sheetView showGridLines="0" workbookViewId="0">
      <selection activeCell="Y17" sqref="Y17"/>
    </sheetView>
  </sheetViews>
  <sheetFormatPr defaultColWidth="9.109375" defaultRowHeight="14.4" x14ac:dyDescent="0.3"/>
  <cols>
    <col min="1" max="1" width="3.44140625" style="1" customWidth="1"/>
    <col min="2" max="2" width="17.6640625" style="1" customWidth="1"/>
    <col min="3" max="3" width="11.33203125" style="1" customWidth="1"/>
    <col min="4" max="6" width="9.109375" style="1"/>
    <col min="7" max="7" width="3.88671875" style="1" customWidth="1"/>
    <col min="8" max="8" width="9.109375" style="1"/>
    <col min="9" max="9" width="3.88671875" style="1" customWidth="1"/>
    <col min="10" max="16384" width="9.109375" style="1"/>
  </cols>
  <sheetData>
    <row r="5" spans="2:8" ht="15" thickBot="1" x14ac:dyDescent="0.35"/>
    <row r="6" spans="2:8" ht="29.4" thickBot="1" x14ac:dyDescent="0.35">
      <c r="B6" s="24" t="s">
        <v>0</v>
      </c>
      <c r="C6" s="25" t="s">
        <v>1</v>
      </c>
      <c r="D6" s="27" t="s">
        <v>53</v>
      </c>
      <c r="E6" s="25" t="s">
        <v>2</v>
      </c>
      <c r="F6" s="26" t="s">
        <v>3</v>
      </c>
      <c r="H6" s="4" t="s">
        <v>4</v>
      </c>
    </row>
    <row r="7" spans="2:8" ht="15" thickBot="1" x14ac:dyDescent="0.35">
      <c r="B7" s="28" t="s">
        <v>5</v>
      </c>
      <c r="C7" s="29">
        <v>1500</v>
      </c>
      <c r="D7" s="30" t="s">
        <v>189</v>
      </c>
      <c r="E7" s="31">
        <f t="shared" ref="E7:E21" si="0">preemia(D7,C7,n)</f>
        <v>180</v>
      </c>
      <c r="F7" s="32">
        <f>palk(E7,C7)</f>
        <v>1680</v>
      </c>
      <c r="H7" s="7">
        <v>0.12</v>
      </c>
    </row>
    <row r="8" spans="2:8" ht="15" thickBot="1" x14ac:dyDescent="0.35">
      <c r="B8" s="33" t="s">
        <v>6</v>
      </c>
      <c r="C8" s="6">
        <v>1250</v>
      </c>
      <c r="D8" s="30" t="s">
        <v>188</v>
      </c>
      <c r="E8" s="31">
        <f t="shared" si="0"/>
        <v>0</v>
      </c>
      <c r="F8" s="32">
        <f t="shared" ref="F8:F21" si="1">palk(E8,C8)</f>
        <v>1250</v>
      </c>
    </row>
    <row r="9" spans="2:8" ht="15" thickBot="1" x14ac:dyDescent="0.35">
      <c r="B9" s="33" t="s">
        <v>7</v>
      </c>
      <c r="C9" s="6">
        <v>5000</v>
      </c>
      <c r="D9" s="30" t="s">
        <v>188</v>
      </c>
      <c r="E9" s="31">
        <f t="shared" si="0"/>
        <v>0</v>
      </c>
      <c r="F9" s="32">
        <f t="shared" si="1"/>
        <v>5000</v>
      </c>
    </row>
    <row r="10" spans="2:8" ht="15" thickBot="1" x14ac:dyDescent="0.35">
      <c r="B10" s="33" t="s">
        <v>8</v>
      </c>
      <c r="C10" s="6">
        <v>1000</v>
      </c>
      <c r="D10" s="30" t="s">
        <v>189</v>
      </c>
      <c r="E10" s="31">
        <f t="shared" si="0"/>
        <v>120</v>
      </c>
      <c r="F10" s="32">
        <f t="shared" si="1"/>
        <v>1120</v>
      </c>
    </row>
    <row r="11" spans="2:8" ht="15" thickBot="1" x14ac:dyDescent="0.35">
      <c r="B11" s="33" t="s">
        <v>9</v>
      </c>
      <c r="C11" s="6">
        <v>3500</v>
      </c>
      <c r="D11" s="30" t="s">
        <v>188</v>
      </c>
      <c r="E11" s="31">
        <f t="shared" si="0"/>
        <v>0</v>
      </c>
      <c r="F11" s="32">
        <f t="shared" si="1"/>
        <v>3500</v>
      </c>
    </row>
    <row r="12" spans="2:8" ht="15" thickBot="1" x14ac:dyDescent="0.35">
      <c r="B12" s="33" t="s">
        <v>10</v>
      </c>
      <c r="C12" s="6">
        <v>4200</v>
      </c>
      <c r="D12" s="30" t="s">
        <v>189</v>
      </c>
      <c r="E12" s="31">
        <f t="shared" si="0"/>
        <v>504</v>
      </c>
      <c r="F12" s="32">
        <f t="shared" si="1"/>
        <v>4704</v>
      </c>
    </row>
    <row r="13" spans="2:8" ht="15" thickBot="1" x14ac:dyDescent="0.35">
      <c r="B13" s="33" t="s">
        <v>11</v>
      </c>
      <c r="C13" s="6">
        <v>1250</v>
      </c>
      <c r="D13" s="30" t="s">
        <v>189</v>
      </c>
      <c r="E13" s="31">
        <f t="shared" si="0"/>
        <v>150</v>
      </c>
      <c r="F13" s="32">
        <f t="shared" si="1"/>
        <v>1400</v>
      </c>
    </row>
    <row r="14" spans="2:8" ht="15" thickBot="1" x14ac:dyDescent="0.35">
      <c r="B14" s="33" t="s">
        <v>12</v>
      </c>
      <c r="C14" s="6">
        <v>1550</v>
      </c>
      <c r="D14" s="30" t="s">
        <v>188</v>
      </c>
      <c r="E14" s="31">
        <f t="shared" si="0"/>
        <v>0</v>
      </c>
      <c r="F14" s="32">
        <f t="shared" si="1"/>
        <v>1550</v>
      </c>
    </row>
    <row r="15" spans="2:8" ht="15" thickBot="1" x14ac:dyDescent="0.35">
      <c r="B15" s="33" t="s">
        <v>13</v>
      </c>
      <c r="C15" s="6">
        <v>2300</v>
      </c>
      <c r="D15" s="30" t="s">
        <v>189</v>
      </c>
      <c r="E15" s="31">
        <f t="shared" si="0"/>
        <v>276</v>
      </c>
      <c r="F15" s="32">
        <f t="shared" si="1"/>
        <v>2576</v>
      </c>
    </row>
    <row r="16" spans="2:8" ht="15" thickBot="1" x14ac:dyDescent="0.35">
      <c r="B16" s="33" t="s">
        <v>14</v>
      </c>
      <c r="C16" s="6">
        <v>1000</v>
      </c>
      <c r="D16" s="30" t="s">
        <v>188</v>
      </c>
      <c r="E16" s="31">
        <f t="shared" si="0"/>
        <v>0</v>
      </c>
      <c r="F16" s="32">
        <f t="shared" si="1"/>
        <v>1000</v>
      </c>
    </row>
    <row r="17" spans="2:6" ht="15" thickBot="1" x14ac:dyDescent="0.35">
      <c r="B17" s="33" t="s">
        <v>15</v>
      </c>
      <c r="C17" s="6">
        <v>1350</v>
      </c>
      <c r="D17" s="30" t="s">
        <v>189</v>
      </c>
      <c r="E17" s="31">
        <f t="shared" si="0"/>
        <v>162</v>
      </c>
      <c r="F17" s="32">
        <f t="shared" si="1"/>
        <v>1512</v>
      </c>
    </row>
    <row r="18" spans="2:6" ht="15" thickBot="1" x14ac:dyDescent="0.35">
      <c r="B18" s="33" t="s">
        <v>16</v>
      </c>
      <c r="C18" s="6">
        <v>3200</v>
      </c>
      <c r="D18" s="30" t="s">
        <v>189</v>
      </c>
      <c r="E18" s="31">
        <f t="shared" si="0"/>
        <v>384</v>
      </c>
      <c r="F18" s="32">
        <f t="shared" si="1"/>
        <v>3584</v>
      </c>
    </row>
    <row r="19" spans="2:6" ht="15" thickBot="1" x14ac:dyDescent="0.35">
      <c r="B19" s="33" t="s">
        <v>17</v>
      </c>
      <c r="C19" s="6">
        <v>1050</v>
      </c>
      <c r="D19" s="30" t="s">
        <v>189</v>
      </c>
      <c r="E19" s="31">
        <f t="shared" si="0"/>
        <v>126</v>
      </c>
      <c r="F19" s="32">
        <f t="shared" si="1"/>
        <v>1176</v>
      </c>
    </row>
    <row r="20" spans="2:6" ht="15" thickBot="1" x14ac:dyDescent="0.35">
      <c r="B20" s="33" t="s">
        <v>18</v>
      </c>
      <c r="C20" s="6">
        <v>2150</v>
      </c>
      <c r="D20" s="30" t="s">
        <v>188</v>
      </c>
      <c r="E20" s="31">
        <f t="shared" si="0"/>
        <v>0</v>
      </c>
      <c r="F20" s="32">
        <f t="shared" si="1"/>
        <v>2150</v>
      </c>
    </row>
    <row r="21" spans="2:6" ht="15" thickBot="1" x14ac:dyDescent="0.35">
      <c r="B21" s="34" t="s">
        <v>19</v>
      </c>
      <c r="C21" s="35">
        <v>1450</v>
      </c>
      <c r="D21" s="30" t="s">
        <v>188</v>
      </c>
      <c r="E21" s="31">
        <f t="shared" si="0"/>
        <v>0</v>
      </c>
      <c r="F21" s="32">
        <f t="shared" si="1"/>
        <v>1450</v>
      </c>
    </row>
  </sheetData>
  <dataValidations count="2">
    <dataValidation type="list" allowBlank="1" showInputMessage="1" showErrorMessage="1" sqref="H7" xr:uid="{00000000-0002-0000-0200-000000000000}">
      <formula1>"10%,12%,15%"</formula1>
    </dataValidation>
    <dataValidation type="list" allowBlank="1" showInputMessage="1" showErrorMessage="1" sqref="D7:D21" xr:uid="{00000000-0002-0000-0200-000001000000}">
      <formula1>"jah,ei"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preemiad_y_2">
                <anchor moveWithCells="1" sizeWithCells="1">
                  <from>
                    <xdr:col>14</xdr:col>
                    <xdr:colOff>76200</xdr:colOff>
                    <xdr:row>24</xdr:row>
                    <xdr:rowOff>60960</xdr:rowOff>
                  </from>
                  <to>
                    <xdr:col>16</xdr:col>
                    <xdr:colOff>403860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" name="Button 4">
              <controlPr defaultSize="0" print="0" autoFill="0" autoPict="0" macro="[0]!clear_y_2">
                <anchor moveWithCells="1" sizeWithCells="1">
                  <from>
                    <xdr:col>14</xdr:col>
                    <xdr:colOff>175260</xdr:colOff>
                    <xdr:row>29</xdr:row>
                    <xdr:rowOff>182880</xdr:rowOff>
                  </from>
                  <to>
                    <xdr:col>16</xdr:col>
                    <xdr:colOff>541020</xdr:colOff>
                    <xdr:row>34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7:E24"/>
  <sheetViews>
    <sheetView showGridLines="0" tabSelected="1" workbookViewId="0">
      <selection activeCell="E8" sqref="E8:E24"/>
    </sheetView>
  </sheetViews>
  <sheetFormatPr defaultColWidth="9.109375" defaultRowHeight="14.4" x14ac:dyDescent="0.3"/>
  <cols>
    <col min="1" max="1" width="3.6640625" style="1" customWidth="1"/>
    <col min="2" max="2" width="16.88671875" style="1" customWidth="1"/>
    <col min="3" max="3" width="12.6640625" style="1" customWidth="1"/>
    <col min="4" max="4" width="9.109375" style="1"/>
    <col min="5" max="5" width="13" style="1" customWidth="1"/>
    <col min="6" max="6" width="4" style="1" customWidth="1"/>
    <col min="7" max="7" width="9.109375" style="1"/>
    <col min="8" max="8" width="13.6640625" style="1" customWidth="1"/>
    <col min="9" max="9" width="10" style="1" customWidth="1"/>
    <col min="10" max="16384" width="9.109375" style="1"/>
  </cols>
  <sheetData>
    <row r="7" spans="2:5" x14ac:dyDescent="0.3">
      <c r="B7" s="15" t="s">
        <v>26</v>
      </c>
      <c r="C7" s="15" t="s">
        <v>32</v>
      </c>
      <c r="D7" s="15" t="s">
        <v>33</v>
      </c>
      <c r="E7" s="169" t="s">
        <v>34</v>
      </c>
    </row>
    <row r="8" spans="2:5" x14ac:dyDescent="0.3">
      <c r="B8" s="16" t="s">
        <v>5</v>
      </c>
      <c r="C8" s="18">
        <v>167</v>
      </c>
      <c r="D8" s="18">
        <v>57</v>
      </c>
      <c r="E8" s="17" t="str">
        <f>KSEIS(C8,D8)</f>
        <v>norm</v>
      </c>
    </row>
    <row r="9" spans="2:5" x14ac:dyDescent="0.3">
      <c r="B9" s="16" t="s">
        <v>6</v>
      </c>
      <c r="C9" s="18">
        <v>185</v>
      </c>
      <c r="D9" s="18">
        <v>85</v>
      </c>
      <c r="E9" s="17" t="str">
        <f t="shared" ref="E9:E24" si="0">KSEIS(C9,D9)</f>
        <v>norm</v>
      </c>
    </row>
    <row r="10" spans="2:5" x14ac:dyDescent="0.3">
      <c r="B10" s="16" t="s">
        <v>7</v>
      </c>
      <c r="C10" s="18">
        <v>178</v>
      </c>
      <c r="D10" s="18">
        <v>77</v>
      </c>
      <c r="E10" s="17" t="str">
        <f t="shared" si="0"/>
        <v>norm</v>
      </c>
    </row>
    <row r="11" spans="2:5" x14ac:dyDescent="0.3">
      <c r="B11" s="16" t="s">
        <v>8</v>
      </c>
      <c r="C11" s="18">
        <v>166</v>
      </c>
      <c r="D11" s="18">
        <v>55</v>
      </c>
      <c r="E11" s="17" t="str">
        <f t="shared" si="0"/>
        <v>ala</v>
      </c>
    </row>
    <row r="12" spans="2:5" x14ac:dyDescent="0.3">
      <c r="B12" s="16" t="s">
        <v>9</v>
      </c>
      <c r="C12" s="18">
        <v>182</v>
      </c>
      <c r="D12" s="18">
        <v>85</v>
      </c>
      <c r="E12" s="17" t="str">
        <f t="shared" si="0"/>
        <v>norm</v>
      </c>
    </row>
    <row r="13" spans="2:5" x14ac:dyDescent="0.3">
      <c r="B13" s="16" t="s">
        <v>10</v>
      </c>
      <c r="C13" s="18">
        <v>168</v>
      </c>
      <c r="D13" s="18">
        <v>58</v>
      </c>
      <c r="E13" s="17" t="str">
        <f t="shared" si="0"/>
        <v>norm</v>
      </c>
    </row>
    <row r="14" spans="2:5" x14ac:dyDescent="0.3">
      <c r="B14" s="16" t="s">
        <v>11</v>
      </c>
      <c r="C14" s="18">
        <v>190</v>
      </c>
      <c r="D14" s="18">
        <v>89</v>
      </c>
      <c r="E14" s="17" t="str">
        <f t="shared" si="0"/>
        <v>norm</v>
      </c>
    </row>
    <row r="15" spans="2:5" x14ac:dyDescent="0.3">
      <c r="B15" s="16" t="s">
        <v>12</v>
      </c>
      <c r="C15" s="18">
        <v>182</v>
      </c>
      <c r="D15" s="18">
        <v>113</v>
      </c>
      <c r="E15" s="17" t="str">
        <f t="shared" si="0"/>
        <v>yle</v>
      </c>
    </row>
    <row r="16" spans="2:5" x14ac:dyDescent="0.3">
      <c r="B16" s="16" t="s">
        <v>13</v>
      </c>
      <c r="C16" s="18">
        <v>173</v>
      </c>
      <c r="D16" s="18">
        <v>61</v>
      </c>
      <c r="E16" s="17" t="str">
        <f t="shared" si="0"/>
        <v>ala</v>
      </c>
    </row>
    <row r="17" spans="2:5" x14ac:dyDescent="0.3">
      <c r="B17" s="16" t="s">
        <v>14</v>
      </c>
      <c r="C17" s="18">
        <v>175</v>
      </c>
      <c r="D17" s="18">
        <v>75</v>
      </c>
      <c r="E17" s="17" t="str">
        <f t="shared" si="0"/>
        <v>norm</v>
      </c>
    </row>
    <row r="18" spans="2:5" x14ac:dyDescent="0.3">
      <c r="B18" s="16" t="s">
        <v>15</v>
      </c>
      <c r="C18" s="18">
        <v>158</v>
      </c>
      <c r="D18" s="18">
        <v>55</v>
      </c>
      <c r="E18" s="17" t="str">
        <f t="shared" si="0"/>
        <v>norm</v>
      </c>
    </row>
    <row r="19" spans="2:5" x14ac:dyDescent="0.3">
      <c r="B19" s="16" t="s">
        <v>16</v>
      </c>
      <c r="C19" s="18">
        <v>182</v>
      </c>
      <c r="D19" s="18">
        <v>69</v>
      </c>
      <c r="E19" s="17" t="str">
        <f t="shared" si="0"/>
        <v>ala</v>
      </c>
    </row>
    <row r="20" spans="2:5" x14ac:dyDescent="0.3">
      <c r="B20" s="16" t="s">
        <v>17</v>
      </c>
      <c r="C20" s="18">
        <v>166</v>
      </c>
      <c r="D20" s="18">
        <v>56</v>
      </c>
      <c r="E20" s="17" t="str">
        <f t="shared" si="0"/>
        <v>norm</v>
      </c>
    </row>
    <row r="21" spans="2:5" x14ac:dyDescent="0.3">
      <c r="B21" s="16" t="s">
        <v>18</v>
      </c>
      <c r="C21" s="18">
        <v>166</v>
      </c>
      <c r="D21" s="18">
        <v>55</v>
      </c>
      <c r="E21" s="17" t="str">
        <f t="shared" si="0"/>
        <v>ala</v>
      </c>
    </row>
    <row r="22" spans="2:5" x14ac:dyDescent="0.3">
      <c r="B22" s="16" t="s">
        <v>19</v>
      </c>
      <c r="C22" s="18">
        <v>182</v>
      </c>
      <c r="D22" s="18">
        <v>85</v>
      </c>
      <c r="E22" s="17" t="str">
        <f t="shared" si="0"/>
        <v>norm</v>
      </c>
    </row>
    <row r="23" spans="2:5" x14ac:dyDescent="0.3">
      <c r="B23" s="16" t="s">
        <v>30</v>
      </c>
      <c r="C23" s="18">
        <v>168</v>
      </c>
      <c r="D23" s="18">
        <v>58</v>
      </c>
      <c r="E23" s="17" t="str">
        <f t="shared" si="0"/>
        <v>norm</v>
      </c>
    </row>
    <row r="24" spans="2:5" x14ac:dyDescent="0.3">
      <c r="B24" s="16" t="s">
        <v>31</v>
      </c>
      <c r="C24" s="18">
        <v>190</v>
      </c>
      <c r="D24" s="18">
        <v>89</v>
      </c>
      <c r="E24" s="17" t="str">
        <f t="shared" si="0"/>
        <v>norm</v>
      </c>
    </row>
  </sheetData>
  <dataValidations count="1">
    <dataValidation type="custom" allowBlank="1" showInputMessage="1" showErrorMessage="1" errorTitle="Vale sisend" error="Ainult sõneline väärtus on lubatud" sqref="E8:E24" xr:uid="{D96E5F22-A959-41A7-9193-2171E22364EE}">
      <formula1>ISTEXT(E8:E24)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oleObjects>
    <mc:AlternateContent xmlns:mc="http://schemas.openxmlformats.org/markup-compatibility/2006">
      <mc:Choice Requires="x14">
        <oleObject progId="Visio.Drawing.6" shapeId="3073" r:id="rId4">
          <objectPr defaultSize="0" autoPict="0" r:id="rId5">
            <anchor moveWithCells="1">
              <from>
                <xdr:col>7</xdr:col>
                <xdr:colOff>45720</xdr:colOff>
                <xdr:row>11</xdr:row>
                <xdr:rowOff>22860</xdr:rowOff>
              </from>
              <to>
                <xdr:col>12</xdr:col>
                <xdr:colOff>152400</xdr:colOff>
                <xdr:row>24</xdr:row>
                <xdr:rowOff>22860</xdr:rowOff>
              </to>
            </anchor>
          </objectPr>
        </oleObject>
      </mc:Choice>
      <mc:Fallback>
        <oleObject progId="Visio.Drawing.6" shapeId="307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kseis_y_3">
                <anchor moveWithCells="1" sizeWithCells="1">
                  <from>
                    <xdr:col>12</xdr:col>
                    <xdr:colOff>266700</xdr:colOff>
                    <xdr:row>28</xdr:row>
                    <xdr:rowOff>152400</xdr:rowOff>
                  </from>
                  <to>
                    <xdr:col>15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lear_y_3">
                <anchor moveWithCells="1" sizeWithCells="1">
                  <from>
                    <xdr:col>12</xdr:col>
                    <xdr:colOff>304800</xdr:colOff>
                    <xdr:row>35</xdr:row>
                    <xdr:rowOff>7620</xdr:rowOff>
                  </from>
                  <to>
                    <xdr:col>15</xdr:col>
                    <xdr:colOff>198120</xdr:colOff>
                    <xdr:row>38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5:G27"/>
  <sheetViews>
    <sheetView showGridLines="0" workbookViewId="0">
      <selection activeCell="G28" sqref="G28"/>
    </sheetView>
  </sheetViews>
  <sheetFormatPr defaultColWidth="9.109375" defaultRowHeight="14.4" x14ac:dyDescent="0.3"/>
  <cols>
    <col min="1" max="1" width="9.109375" style="1"/>
    <col min="2" max="2" width="16.88671875" style="1" customWidth="1"/>
    <col min="3" max="3" width="12.6640625" style="1" customWidth="1"/>
    <col min="4" max="4" width="11.5546875" style="1" customWidth="1"/>
    <col min="5" max="5" width="11.44140625" style="1" customWidth="1"/>
    <col min="6" max="7" width="9.109375" style="1"/>
    <col min="8" max="8" width="13.6640625" style="1" customWidth="1"/>
    <col min="9" max="9" width="10" style="1" customWidth="1"/>
    <col min="10" max="16384" width="9.109375" style="1"/>
  </cols>
  <sheetData>
    <row r="5" spans="2:7" x14ac:dyDescent="0.3">
      <c r="F5" s="8" t="s">
        <v>20</v>
      </c>
      <c r="G5" s="8" t="s">
        <v>21</v>
      </c>
    </row>
    <row r="6" spans="2:7" x14ac:dyDescent="0.3">
      <c r="F6" s="9" t="s">
        <v>22</v>
      </c>
      <c r="G6" s="9">
        <v>0</v>
      </c>
    </row>
    <row r="7" spans="2:7" x14ac:dyDescent="0.3">
      <c r="F7" s="9" t="s">
        <v>23</v>
      </c>
      <c r="G7" s="9">
        <v>1</v>
      </c>
    </row>
    <row r="8" spans="2:7" x14ac:dyDescent="0.3">
      <c r="F8" s="9" t="s">
        <v>24</v>
      </c>
      <c r="G8" s="9">
        <v>2</v>
      </c>
    </row>
    <row r="9" spans="2:7" ht="15" thickBot="1" x14ac:dyDescent="0.35">
      <c r="F9" s="9" t="s">
        <v>25</v>
      </c>
      <c r="G9" s="9">
        <v>3</v>
      </c>
    </row>
    <row r="10" spans="2:7" ht="15" thickBot="1" x14ac:dyDescent="0.35">
      <c r="B10" s="2" t="s">
        <v>26</v>
      </c>
      <c r="C10" s="3" t="s">
        <v>27</v>
      </c>
      <c r="D10" s="3" t="s">
        <v>21</v>
      </c>
      <c r="F10" s="9" t="s">
        <v>28</v>
      </c>
      <c r="G10" s="9">
        <v>4</v>
      </c>
    </row>
    <row r="11" spans="2:7" x14ac:dyDescent="0.3">
      <c r="B11" s="11" t="s">
        <v>5</v>
      </c>
      <c r="C11" s="5">
        <v>23</v>
      </c>
      <c r="D11" s="14">
        <f>hinne(C11)</f>
        <v>0</v>
      </c>
      <c r="F11" s="9" t="s">
        <v>29</v>
      </c>
      <c r="G11" s="9">
        <v>5</v>
      </c>
    </row>
    <row r="12" spans="2:7" x14ac:dyDescent="0.3">
      <c r="B12" s="12" t="s">
        <v>6</v>
      </c>
      <c r="C12" s="5">
        <v>56</v>
      </c>
      <c r="D12" s="14">
        <f t="shared" ref="D12:D27" si="0">hinne(C12)</f>
        <v>1</v>
      </c>
    </row>
    <row r="13" spans="2:7" x14ac:dyDescent="0.3">
      <c r="B13" s="12" t="s">
        <v>7</v>
      </c>
      <c r="C13" s="5">
        <v>89</v>
      </c>
      <c r="D13" s="14">
        <f t="shared" si="0"/>
        <v>4</v>
      </c>
    </row>
    <row r="14" spans="2:7" x14ac:dyDescent="0.3">
      <c r="B14" s="12" t="s">
        <v>8</v>
      </c>
      <c r="C14" s="5">
        <v>91</v>
      </c>
      <c r="D14" s="14">
        <f t="shared" si="0"/>
        <v>5</v>
      </c>
    </row>
    <row r="15" spans="2:7" x14ac:dyDescent="0.3">
      <c r="B15" s="12" t="s">
        <v>9</v>
      </c>
      <c r="C15" s="5">
        <v>78</v>
      </c>
      <c r="D15" s="14">
        <f t="shared" si="0"/>
        <v>3</v>
      </c>
    </row>
    <row r="16" spans="2:7" x14ac:dyDescent="0.3">
      <c r="B16" s="12" t="s">
        <v>10</v>
      </c>
      <c r="C16" s="5">
        <v>67</v>
      </c>
      <c r="D16" s="14">
        <f t="shared" si="0"/>
        <v>2</v>
      </c>
    </row>
    <row r="17" spans="2:4" x14ac:dyDescent="0.3">
      <c r="B17" s="12" t="s">
        <v>11</v>
      </c>
      <c r="C17" s="5">
        <v>75</v>
      </c>
      <c r="D17" s="14">
        <f t="shared" si="0"/>
        <v>3</v>
      </c>
    </row>
    <row r="18" spans="2:4" x14ac:dyDescent="0.3">
      <c r="B18" s="12" t="s">
        <v>12</v>
      </c>
      <c r="C18" s="5">
        <v>90</v>
      </c>
      <c r="D18" s="14">
        <f t="shared" si="0"/>
        <v>5</v>
      </c>
    </row>
    <row r="19" spans="2:4" x14ac:dyDescent="0.3">
      <c r="B19" s="12" t="s">
        <v>13</v>
      </c>
      <c r="C19" s="5"/>
      <c r="D19" s="14">
        <f t="shared" si="0"/>
        <v>0</v>
      </c>
    </row>
    <row r="20" spans="2:4" x14ac:dyDescent="0.3">
      <c r="B20" s="12" t="s">
        <v>14</v>
      </c>
      <c r="C20" s="5">
        <v>79</v>
      </c>
      <c r="D20" s="14">
        <f t="shared" si="0"/>
        <v>3</v>
      </c>
    </row>
    <row r="21" spans="2:4" x14ac:dyDescent="0.3">
      <c r="B21" s="12" t="s">
        <v>15</v>
      </c>
      <c r="C21" s="5"/>
      <c r="D21" s="14">
        <f t="shared" si="0"/>
        <v>0</v>
      </c>
    </row>
    <row r="22" spans="2:4" x14ac:dyDescent="0.3">
      <c r="B22" s="12" t="s">
        <v>16</v>
      </c>
      <c r="C22" s="5">
        <v>15</v>
      </c>
      <c r="D22" s="14">
        <f t="shared" si="0"/>
        <v>0</v>
      </c>
    </row>
    <row r="23" spans="2:4" x14ac:dyDescent="0.3">
      <c r="B23" s="12" t="s">
        <v>17</v>
      </c>
      <c r="C23" s="5">
        <v>65</v>
      </c>
      <c r="D23" s="14">
        <f t="shared" si="0"/>
        <v>2</v>
      </c>
    </row>
    <row r="24" spans="2:4" x14ac:dyDescent="0.3">
      <c r="B24" s="12" t="s">
        <v>18</v>
      </c>
      <c r="C24" s="5">
        <v>84</v>
      </c>
      <c r="D24" s="14">
        <f t="shared" si="0"/>
        <v>4</v>
      </c>
    </row>
    <row r="25" spans="2:4" x14ac:dyDescent="0.3">
      <c r="B25" s="12" t="s">
        <v>19</v>
      </c>
      <c r="C25" s="5">
        <v>100</v>
      </c>
      <c r="D25" s="14">
        <f t="shared" si="0"/>
        <v>5</v>
      </c>
    </row>
    <row r="26" spans="2:4" x14ac:dyDescent="0.3">
      <c r="B26" s="12" t="s">
        <v>30</v>
      </c>
      <c r="C26" s="5">
        <v>36</v>
      </c>
      <c r="D26" s="14">
        <f t="shared" si="0"/>
        <v>0</v>
      </c>
    </row>
    <row r="27" spans="2:4" ht="15" thickBot="1" x14ac:dyDescent="0.35">
      <c r="B27" s="13" t="s">
        <v>31</v>
      </c>
      <c r="C27" s="5">
        <v>59</v>
      </c>
      <c r="D27" s="14">
        <f t="shared" si="0"/>
        <v>1</v>
      </c>
    </row>
  </sheetData>
  <dataValidations count="1">
    <dataValidation type="whole" allowBlank="1" showInputMessage="1" showErrorMessage="1" errorTitle="Pole number 0-100" error="Vahemikus 0-100 saab olla ainult väärtus" sqref="C11:C27" xr:uid="{9787B986-71DA-48D8-ADDB-5AABF6D69681}">
      <formula1>0</formula1>
      <formula2>100</formula2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F12:F13"/>
  <sheetViews>
    <sheetView workbookViewId="0">
      <selection activeCell="F37" sqref="F37"/>
    </sheetView>
  </sheetViews>
  <sheetFormatPr defaultColWidth="9.109375" defaultRowHeight="14.4" x14ac:dyDescent="0.3"/>
  <cols>
    <col min="1" max="16384" width="9.109375" style="40"/>
  </cols>
  <sheetData>
    <row r="12" spans="6:6" ht="25.8" x14ac:dyDescent="0.5">
      <c r="F12" s="39" t="s">
        <v>55</v>
      </c>
    </row>
    <row r="13" spans="6:6" ht="25.8" x14ac:dyDescent="0.5">
      <c r="F13" s="4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K94"/>
  <sheetViews>
    <sheetView showGridLines="0" showRowColHeaders="0" workbookViewId="0">
      <selection activeCell="P14" sqref="P14"/>
    </sheetView>
  </sheetViews>
  <sheetFormatPr defaultColWidth="9.109375" defaultRowHeight="15" x14ac:dyDescent="0.25"/>
  <cols>
    <col min="1" max="1" width="3" style="42" customWidth="1"/>
    <col min="2" max="4" width="9.109375" style="42"/>
    <col min="5" max="5" width="12" style="42" customWidth="1"/>
    <col min="6" max="6" width="9.109375" style="42"/>
    <col min="7" max="7" width="6.44140625" style="42" customWidth="1"/>
    <col min="8" max="8" width="9.109375" style="42"/>
    <col min="9" max="9" width="13.6640625" style="42" customWidth="1"/>
    <col min="10" max="16384" width="9.109375" style="42"/>
  </cols>
  <sheetData>
    <row r="1" spans="1:11" ht="15.75" customHeight="1" x14ac:dyDescent="0.25"/>
    <row r="2" spans="1:11" ht="21" customHeight="1" x14ac:dyDescent="0.3">
      <c r="B2" s="43" t="s">
        <v>56</v>
      </c>
    </row>
    <row r="3" spans="1:11" ht="21" customHeight="1" x14ac:dyDescent="0.3">
      <c r="B3" s="44" t="s">
        <v>57</v>
      </c>
    </row>
    <row r="4" spans="1:11" ht="48.75" customHeight="1" x14ac:dyDescent="0.25">
      <c r="B4" s="172" t="s">
        <v>58</v>
      </c>
      <c r="C4" s="173"/>
      <c r="D4" s="173"/>
      <c r="E4" s="173"/>
      <c r="F4" s="173"/>
      <c r="G4" s="173"/>
      <c r="H4" s="173"/>
      <c r="I4" s="173"/>
      <c r="J4" s="173"/>
      <c r="K4" s="173"/>
    </row>
    <row r="5" spans="1:11" s="49" customFormat="1" ht="16.5" customHeight="1" x14ac:dyDescent="0.25">
      <c r="A5" s="45"/>
      <c r="B5" s="46"/>
      <c r="C5" s="47"/>
      <c r="D5" s="48"/>
      <c r="E5" s="47"/>
      <c r="F5" s="47"/>
      <c r="G5" s="47"/>
      <c r="H5" s="47"/>
      <c r="I5" s="47"/>
      <c r="J5" s="47"/>
      <c r="K5" s="47"/>
    </row>
    <row r="6" spans="1:11" ht="46.5" customHeight="1" x14ac:dyDescent="0.25">
      <c r="B6" s="174" t="s">
        <v>59</v>
      </c>
      <c r="C6" s="173"/>
      <c r="D6" s="173"/>
      <c r="E6" s="173"/>
      <c r="F6" s="173"/>
      <c r="G6" s="173"/>
      <c r="H6" s="173"/>
      <c r="I6" s="173"/>
      <c r="J6" s="173"/>
      <c r="K6" s="173"/>
    </row>
    <row r="7" spans="1:11" ht="46.5" customHeight="1" x14ac:dyDescent="0.25">
      <c r="B7" s="175" t="s">
        <v>60</v>
      </c>
      <c r="C7" s="176"/>
      <c r="D7" s="176"/>
      <c r="E7" s="176"/>
      <c r="F7" s="176"/>
      <c r="G7" s="176"/>
      <c r="H7" s="176"/>
      <c r="I7" s="176"/>
      <c r="J7" s="176"/>
      <c r="K7" s="50"/>
    </row>
    <row r="8" spans="1:11" ht="40.5" customHeight="1" x14ac:dyDescent="0.25">
      <c r="B8" s="177" t="s">
        <v>61</v>
      </c>
      <c r="C8" s="173"/>
      <c r="D8" s="173"/>
      <c r="E8" s="173"/>
      <c r="F8" s="173"/>
      <c r="G8" s="173"/>
      <c r="H8" s="173"/>
      <c r="I8" s="173"/>
      <c r="J8" s="173"/>
      <c r="K8" s="51"/>
    </row>
    <row r="9" spans="1:11" ht="25.5" customHeight="1" x14ac:dyDescent="0.25">
      <c r="B9" s="178" t="s">
        <v>62</v>
      </c>
      <c r="C9" s="178"/>
      <c r="D9" s="178"/>
      <c r="E9" s="178"/>
      <c r="F9" s="178"/>
      <c r="G9" s="178"/>
      <c r="H9" s="178"/>
      <c r="I9" s="178"/>
      <c r="J9" s="178"/>
      <c r="K9" s="178"/>
    </row>
    <row r="10" spans="1:11" ht="48.75" customHeight="1" x14ac:dyDescent="0.25">
      <c r="B10" s="178" t="s">
        <v>63</v>
      </c>
      <c r="C10" s="178"/>
      <c r="D10" s="178"/>
      <c r="E10" s="178"/>
      <c r="F10" s="178"/>
      <c r="G10" s="178"/>
      <c r="H10" s="178"/>
      <c r="I10" s="178"/>
      <c r="J10" s="173"/>
      <c r="K10" s="173"/>
    </row>
    <row r="11" spans="1:11" ht="22.5" customHeight="1" x14ac:dyDescent="0.25">
      <c r="B11" s="178" t="s">
        <v>64</v>
      </c>
      <c r="C11" s="173"/>
      <c r="D11" s="173"/>
      <c r="E11" s="173"/>
      <c r="F11" s="173"/>
      <c r="G11" s="173"/>
      <c r="H11" s="173"/>
      <c r="I11" s="173"/>
      <c r="J11" s="173"/>
      <c r="K11" s="173"/>
    </row>
    <row r="12" spans="1:11" ht="9" customHeight="1" x14ac:dyDescent="0.25"/>
    <row r="13" spans="1:11" ht="18.75" customHeight="1" x14ac:dyDescent="0.3">
      <c r="B13" s="44" t="s">
        <v>65</v>
      </c>
      <c r="C13" s="52"/>
      <c r="D13" s="52"/>
      <c r="E13" s="52"/>
      <c r="F13" s="52"/>
      <c r="G13" s="52"/>
      <c r="H13" s="52"/>
      <c r="I13" s="52"/>
      <c r="J13" s="52"/>
      <c r="K13" s="52"/>
    </row>
    <row r="14" spans="1:11" ht="21" customHeight="1" x14ac:dyDescent="0.3">
      <c r="B14" s="44" t="s">
        <v>66</v>
      </c>
      <c r="C14" s="52"/>
      <c r="D14" s="52"/>
      <c r="E14" s="52"/>
      <c r="F14" s="52"/>
      <c r="G14" s="52"/>
      <c r="H14" s="52"/>
      <c r="I14" s="52"/>
      <c r="J14" s="52"/>
      <c r="K14" s="52"/>
    </row>
    <row r="15" spans="1:11" ht="20.25" customHeight="1" x14ac:dyDescent="0.3">
      <c r="B15" s="44" t="s">
        <v>67</v>
      </c>
      <c r="C15" s="52"/>
      <c r="D15" s="52"/>
      <c r="E15" s="52"/>
      <c r="F15" s="52"/>
      <c r="G15" s="52"/>
      <c r="H15" s="52"/>
      <c r="I15" s="52"/>
      <c r="J15" s="52"/>
      <c r="K15" s="52"/>
    </row>
    <row r="16" spans="1:11" ht="20.25" customHeight="1" x14ac:dyDescent="0.25">
      <c r="B16" s="44" t="s">
        <v>68</v>
      </c>
      <c r="C16" s="52"/>
      <c r="D16" s="52"/>
      <c r="E16" s="52"/>
      <c r="F16" s="52"/>
      <c r="G16" s="52"/>
      <c r="H16" s="52"/>
      <c r="I16" s="52"/>
      <c r="J16" s="52"/>
      <c r="K16" s="52"/>
    </row>
    <row r="17" spans="2:11" ht="27" customHeight="1" x14ac:dyDescent="0.25">
      <c r="B17" s="53" t="s">
        <v>69</v>
      </c>
    </row>
    <row r="18" spans="2:11" ht="20.25" customHeight="1" x14ac:dyDescent="0.25">
      <c r="C18" s="54" t="s">
        <v>70</v>
      </c>
      <c r="D18" s="55"/>
      <c r="E18" s="56"/>
    </row>
    <row r="19" spans="2:11" ht="20.25" customHeight="1" x14ac:dyDescent="0.25">
      <c r="C19" s="57" t="s">
        <v>71</v>
      </c>
      <c r="D19" s="58"/>
      <c r="E19" s="59"/>
    </row>
    <row r="20" spans="2:11" ht="20.25" customHeight="1" x14ac:dyDescent="0.25">
      <c r="C20" s="57" t="s">
        <v>72</v>
      </c>
      <c r="D20" s="58"/>
      <c r="E20" s="59"/>
    </row>
    <row r="21" spans="2:11" ht="20.25" customHeight="1" x14ac:dyDescent="0.3">
      <c r="B21" s="48"/>
      <c r="C21" s="60" t="s">
        <v>73</v>
      </c>
      <c r="D21" s="61"/>
      <c r="E21" s="62"/>
    </row>
    <row r="22" spans="2:11" ht="27" customHeight="1" x14ac:dyDescent="0.25">
      <c r="B22" s="53" t="s">
        <v>74</v>
      </c>
      <c r="C22" s="63"/>
      <c r="I22" s="64"/>
    </row>
    <row r="23" spans="2:11" ht="27" customHeight="1" x14ac:dyDescent="0.3">
      <c r="B23" s="65" t="s">
        <v>75</v>
      </c>
      <c r="C23" s="66"/>
      <c r="D23" s="66"/>
      <c r="E23" s="66"/>
      <c r="F23" s="66"/>
      <c r="G23" s="67"/>
    </row>
    <row r="24" spans="2:11" ht="27" customHeight="1" x14ac:dyDescent="0.25">
      <c r="B24" s="68" t="s">
        <v>76</v>
      </c>
      <c r="C24" s="48"/>
      <c r="D24" s="48"/>
      <c r="E24" s="48"/>
      <c r="F24" s="48"/>
      <c r="G24" s="69"/>
      <c r="I24" s="70"/>
    </row>
    <row r="25" spans="2:11" ht="27" customHeight="1" x14ac:dyDescent="0.25">
      <c r="B25" s="71" t="s">
        <v>77</v>
      </c>
      <c r="C25" s="72"/>
      <c r="D25" s="72"/>
      <c r="E25" s="72"/>
      <c r="F25" s="72"/>
      <c r="G25" s="73"/>
      <c r="I25" s="70"/>
    </row>
    <row r="26" spans="2:11" s="49" customFormat="1" ht="27" customHeight="1" x14ac:dyDescent="0.25">
      <c r="B26" s="74" t="s">
        <v>78</v>
      </c>
    </row>
    <row r="27" spans="2:11" ht="27" customHeight="1" x14ac:dyDescent="0.25">
      <c r="B27" s="75" t="s">
        <v>79</v>
      </c>
      <c r="C27" s="76"/>
      <c r="D27" s="76"/>
      <c r="E27" s="76"/>
      <c r="F27" s="76"/>
      <c r="G27" s="76"/>
      <c r="H27" s="76"/>
      <c r="I27" s="67"/>
    </row>
    <row r="28" spans="2:11" s="48" customFormat="1" ht="27" customHeight="1" x14ac:dyDescent="0.3">
      <c r="B28" s="77" t="s">
        <v>76</v>
      </c>
      <c r="I28" s="78"/>
    </row>
    <row r="29" spans="2:11" s="48" customFormat="1" ht="27" customHeight="1" x14ac:dyDescent="0.3">
      <c r="B29" s="79" t="s">
        <v>80</v>
      </c>
      <c r="C29" s="72"/>
      <c r="D29" s="72"/>
      <c r="E29" s="72"/>
      <c r="F29" s="72"/>
      <c r="G29" s="72"/>
      <c r="H29" s="72"/>
      <c r="I29" s="80"/>
    </row>
    <row r="30" spans="2:11" s="49" customFormat="1" x14ac:dyDescent="0.25"/>
    <row r="31" spans="2:11" ht="15.6" x14ac:dyDescent="0.3">
      <c r="B31" s="81" t="s">
        <v>81</v>
      </c>
    </row>
    <row r="32" spans="2:11" ht="30.75" customHeight="1" x14ac:dyDescent="0.25">
      <c r="B32" s="179" t="s">
        <v>82</v>
      </c>
      <c r="C32" s="180"/>
      <c r="D32" s="180"/>
      <c r="E32" s="180"/>
      <c r="F32" s="180"/>
      <c r="G32" s="180"/>
      <c r="H32" s="180"/>
      <c r="I32" s="180"/>
      <c r="J32" s="181"/>
      <c r="K32" s="181"/>
    </row>
    <row r="33" spans="1:11" ht="18.600000000000001" x14ac:dyDescent="0.45">
      <c r="B33" s="82" t="s">
        <v>83</v>
      </c>
    </row>
    <row r="34" spans="1:11" ht="39.75" customHeight="1" x14ac:dyDescent="0.25">
      <c r="B34" s="178" t="s">
        <v>84</v>
      </c>
      <c r="C34" s="178"/>
      <c r="D34" s="178"/>
      <c r="E34" s="178"/>
      <c r="F34" s="178"/>
      <c r="G34" s="178"/>
      <c r="H34" s="178"/>
      <c r="I34" s="178"/>
      <c r="J34" s="178"/>
      <c r="K34" s="178"/>
    </row>
    <row r="35" spans="1:11" ht="23.25" customHeight="1" x14ac:dyDescent="0.25">
      <c r="B35" s="83" t="s">
        <v>85</v>
      </c>
      <c r="C35" s="84"/>
      <c r="D35" s="84"/>
      <c r="E35" s="84"/>
      <c r="F35" s="84"/>
      <c r="G35" s="84"/>
      <c r="H35" s="84"/>
      <c r="I35" s="84"/>
      <c r="J35" s="84"/>
      <c r="K35" s="84"/>
    </row>
    <row r="36" spans="1:11" ht="18.75" customHeight="1" x14ac:dyDescent="0.25">
      <c r="B36" s="83" t="s">
        <v>86</v>
      </c>
      <c r="C36" s="84"/>
      <c r="D36" s="84"/>
      <c r="E36" s="84"/>
      <c r="F36" s="84"/>
      <c r="G36" s="84"/>
      <c r="H36" s="84"/>
      <c r="I36" s="84"/>
      <c r="J36" s="84"/>
      <c r="K36" s="84"/>
    </row>
    <row r="37" spans="1:11" ht="23.25" customHeight="1" x14ac:dyDescent="0.25">
      <c r="B37" s="83" t="s">
        <v>87</v>
      </c>
      <c r="C37" s="84"/>
      <c r="D37" s="84"/>
      <c r="E37" s="84"/>
      <c r="F37" s="84"/>
      <c r="G37" s="84"/>
      <c r="H37" s="84"/>
      <c r="I37" s="84"/>
      <c r="J37" s="84"/>
      <c r="K37" s="84"/>
    </row>
    <row r="38" spans="1:11" ht="33" customHeight="1" x14ac:dyDescent="0.25">
      <c r="B38" s="85" t="s">
        <v>88</v>
      </c>
      <c r="D38" s="84"/>
      <c r="E38" s="84"/>
      <c r="F38" s="84"/>
      <c r="G38" s="84"/>
      <c r="H38" s="84"/>
      <c r="I38" s="84"/>
      <c r="J38" s="84"/>
      <c r="K38" s="84"/>
    </row>
    <row r="39" spans="1:11" ht="24" customHeight="1" x14ac:dyDescent="0.25">
      <c r="B39" s="86" t="s">
        <v>89</v>
      </c>
    </row>
    <row r="40" spans="1:11" ht="24" customHeight="1" x14ac:dyDescent="0.25">
      <c r="B40" s="83" t="s">
        <v>90</v>
      </c>
    </row>
    <row r="41" spans="1:11" ht="9" customHeight="1" x14ac:dyDescent="0.25">
      <c r="B41" s="87"/>
    </row>
    <row r="42" spans="1:11" ht="22.5" customHeight="1" x14ac:dyDescent="0.25">
      <c r="B42" s="86" t="s">
        <v>91</v>
      </c>
    </row>
    <row r="43" spans="1:11" ht="15.6" x14ac:dyDescent="0.25">
      <c r="B43" s="83" t="s">
        <v>92</v>
      </c>
    </row>
    <row r="44" spans="1:11" ht="15" customHeight="1" x14ac:dyDescent="0.25">
      <c r="A44" s="88"/>
      <c r="B44" s="87"/>
    </row>
    <row r="45" spans="1:11" ht="27" customHeight="1" x14ac:dyDescent="0.25">
      <c r="B45" s="86"/>
    </row>
    <row r="46" spans="1:11" ht="29.25" customHeight="1" x14ac:dyDescent="0.25">
      <c r="C46" s="86"/>
    </row>
    <row r="47" spans="1:11" ht="22.5" customHeight="1" x14ac:dyDescent="0.25">
      <c r="B47" s="89"/>
    </row>
    <row r="48" spans="1:11" s="49" customFormat="1" ht="22.5" customHeight="1" x14ac:dyDescent="0.25">
      <c r="B48" s="90"/>
    </row>
    <row r="49" spans="1:9" s="49" customFormat="1" ht="22.5" customHeight="1" x14ac:dyDescent="0.25">
      <c r="B49" s="91"/>
    </row>
    <row r="50" spans="1:9" s="49" customFormat="1" ht="39" customHeight="1" x14ac:dyDescent="0.25">
      <c r="B50" s="182"/>
      <c r="C50" s="183"/>
      <c r="D50" s="183"/>
      <c r="E50" s="183"/>
      <c r="F50" s="183"/>
      <c r="G50" s="183"/>
      <c r="H50" s="183"/>
      <c r="I50" s="183"/>
    </row>
    <row r="51" spans="1:9" s="49" customFormat="1" ht="14.25" customHeight="1" x14ac:dyDescent="0.25">
      <c r="B51" s="92"/>
      <c r="C51" s="93"/>
    </row>
    <row r="52" spans="1:9" s="49" customFormat="1" ht="14.25" customHeight="1" x14ac:dyDescent="0.25">
      <c r="B52" s="92"/>
    </row>
    <row r="53" spans="1:9" s="49" customFormat="1" ht="26.25" customHeight="1" x14ac:dyDescent="0.25">
      <c r="B53" s="94"/>
    </row>
    <row r="54" spans="1:9" ht="22.5" customHeight="1" x14ac:dyDescent="0.25">
      <c r="B54" s="95"/>
    </row>
    <row r="55" spans="1:9" ht="29.25" customHeight="1" x14ac:dyDescent="0.25">
      <c r="B55" s="96"/>
    </row>
    <row r="56" spans="1:9" ht="22.5" customHeight="1" x14ac:dyDescent="0.25">
      <c r="B56" s="95"/>
    </row>
    <row r="57" spans="1:9" ht="30" customHeight="1" x14ac:dyDescent="0.25">
      <c r="B57" s="96"/>
    </row>
    <row r="58" spans="1:9" ht="22.5" customHeight="1" x14ac:dyDescent="0.25">
      <c r="B58" s="95"/>
    </row>
    <row r="59" spans="1:9" s="49" customFormat="1" ht="12" customHeight="1" x14ac:dyDescent="0.25">
      <c r="B59" s="97"/>
    </row>
    <row r="60" spans="1:9" ht="43.5" customHeight="1" x14ac:dyDescent="0.25">
      <c r="B60" s="184"/>
      <c r="C60" s="180"/>
      <c r="D60" s="180"/>
      <c r="E60" s="180"/>
      <c r="F60" s="180"/>
      <c r="G60" s="180"/>
      <c r="H60" s="180"/>
      <c r="I60" s="180"/>
    </row>
    <row r="61" spans="1:9" ht="14.25" customHeight="1" x14ac:dyDescent="0.25">
      <c r="B61" s="95"/>
    </row>
    <row r="62" spans="1:9" ht="30" customHeight="1" x14ac:dyDescent="0.25">
      <c r="A62" s="88"/>
      <c r="B62" s="86"/>
    </row>
    <row r="63" spans="1:9" ht="23.25" customHeight="1" x14ac:dyDescent="0.25">
      <c r="B63" s="95"/>
    </row>
    <row r="64" spans="1:9" ht="23.25" customHeight="1" x14ac:dyDescent="0.25">
      <c r="B64" s="96"/>
    </row>
    <row r="65" spans="2:8" ht="23.25" customHeight="1" x14ac:dyDescent="0.25">
      <c r="B65" s="95"/>
    </row>
    <row r="66" spans="2:8" ht="23.25" customHeight="1" x14ac:dyDescent="0.25">
      <c r="B66" s="96"/>
    </row>
    <row r="67" spans="2:8" ht="23.25" customHeight="1" x14ac:dyDescent="0.25">
      <c r="B67" s="95"/>
    </row>
    <row r="68" spans="2:8" s="49" customFormat="1" x14ac:dyDescent="0.25">
      <c r="B68" s="93"/>
    </row>
    <row r="69" spans="2:8" s="49" customFormat="1" ht="39.9" customHeight="1" x14ac:dyDescent="0.25">
      <c r="B69" s="170" t="s">
        <v>93</v>
      </c>
      <c r="C69" s="171"/>
      <c r="D69" s="171"/>
      <c r="E69" s="171"/>
      <c r="F69" s="171"/>
      <c r="G69" s="171"/>
      <c r="H69" s="171"/>
    </row>
    <row r="70" spans="2:8" s="49" customFormat="1" x14ac:dyDescent="0.25">
      <c r="B70" s="93"/>
    </row>
    <row r="71" spans="2:8" s="49" customFormat="1" x14ac:dyDescent="0.25"/>
    <row r="72" spans="2:8" s="49" customFormat="1" x14ac:dyDescent="0.25"/>
    <row r="73" spans="2:8" s="49" customFormat="1" x14ac:dyDescent="0.25"/>
    <row r="74" spans="2:8" s="49" customFormat="1" x14ac:dyDescent="0.25"/>
    <row r="75" spans="2:8" s="49" customFormat="1" x14ac:dyDescent="0.25"/>
    <row r="76" spans="2:8" s="49" customFormat="1" x14ac:dyDescent="0.25"/>
    <row r="77" spans="2:8" s="49" customFormat="1" x14ac:dyDescent="0.25"/>
    <row r="78" spans="2:8" s="49" customFormat="1" x14ac:dyDescent="0.25"/>
    <row r="79" spans="2:8" s="49" customFormat="1" x14ac:dyDescent="0.25"/>
    <row r="80" spans="2:8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</sheetData>
  <mergeCells count="12">
    <mergeCell ref="B69:H69"/>
    <mergeCell ref="B4:K4"/>
    <mergeCell ref="B6:K6"/>
    <mergeCell ref="B7:J7"/>
    <mergeCell ref="B8:J8"/>
    <mergeCell ref="B9:K9"/>
    <mergeCell ref="B10:K10"/>
    <mergeCell ref="B11:K11"/>
    <mergeCell ref="B32:K32"/>
    <mergeCell ref="B34:K34"/>
    <mergeCell ref="B50:I50"/>
    <mergeCell ref="B60:I60"/>
  </mergeCells>
  <pageMargins left="0.75" right="0.75" top="1" bottom="1" header="0.5" footer="0.5"/>
  <pageSetup orientation="landscape" horizontalDpi="200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B1:H26"/>
  <sheetViews>
    <sheetView showGridLines="0" showRowColHeaders="0" workbookViewId="0">
      <selection activeCell="I31" sqref="I31"/>
    </sheetView>
  </sheetViews>
  <sheetFormatPr defaultColWidth="11.44140625" defaultRowHeight="15" x14ac:dyDescent="0.25"/>
  <cols>
    <col min="1" max="1" width="3.44140625" style="101" customWidth="1"/>
    <col min="2" max="16384" width="11.44140625" style="101"/>
  </cols>
  <sheetData>
    <row r="1" spans="2:2" s="99" customFormat="1" ht="16.5" customHeight="1" x14ac:dyDescent="0.25">
      <c r="B1" s="98"/>
    </row>
    <row r="2" spans="2:2" ht="15.6" x14ac:dyDescent="0.3">
      <c r="B2" s="100" t="s">
        <v>94</v>
      </c>
    </row>
    <row r="3" spans="2:2" ht="14.25" customHeight="1" x14ac:dyDescent="0.25"/>
    <row r="4" spans="2:2" ht="19.5" customHeight="1" x14ac:dyDescent="0.3">
      <c r="B4" s="102" t="s">
        <v>95</v>
      </c>
    </row>
    <row r="5" spans="2:2" ht="19.5" customHeight="1" x14ac:dyDescent="0.25">
      <c r="B5" s="103" t="s">
        <v>96</v>
      </c>
    </row>
    <row r="6" spans="2:2" ht="19.5" customHeight="1" x14ac:dyDescent="0.25">
      <c r="B6" s="103" t="s">
        <v>97</v>
      </c>
    </row>
    <row r="7" spans="2:2" ht="9.75" customHeight="1" x14ac:dyDescent="0.25"/>
    <row r="8" spans="2:2" ht="20.25" customHeight="1" x14ac:dyDescent="0.3">
      <c r="B8" s="104" t="s">
        <v>98</v>
      </c>
    </row>
    <row r="9" spans="2:2" ht="20.25" customHeight="1" x14ac:dyDescent="0.3">
      <c r="B9" s="105" t="s">
        <v>99</v>
      </c>
    </row>
    <row r="10" spans="2:2" ht="20.25" customHeight="1" x14ac:dyDescent="0.3">
      <c r="B10" s="105" t="s">
        <v>100</v>
      </c>
    </row>
    <row r="11" spans="2:2" ht="20.25" customHeight="1" x14ac:dyDescent="0.3">
      <c r="B11" s="105" t="s">
        <v>101</v>
      </c>
    </row>
    <row r="12" spans="2:2" s="99" customFormat="1" ht="15" customHeight="1" x14ac:dyDescent="0.25"/>
    <row r="13" spans="2:2" x14ac:dyDescent="0.25">
      <c r="B13" s="103" t="s">
        <v>102</v>
      </c>
    </row>
    <row r="14" spans="2:2" x14ac:dyDescent="0.25">
      <c r="B14" s="103" t="s">
        <v>103</v>
      </c>
    </row>
    <row r="15" spans="2:2" s="99" customFormat="1" ht="12.75" customHeight="1" x14ac:dyDescent="0.25"/>
    <row r="16" spans="2:2" ht="15.6" x14ac:dyDescent="0.3">
      <c r="B16" s="106" t="s">
        <v>104</v>
      </c>
    </row>
    <row r="17" spans="2:8" ht="22.5" customHeight="1" x14ac:dyDescent="0.3">
      <c r="B17" s="107" t="s">
        <v>105</v>
      </c>
    </row>
    <row r="18" spans="2:8" ht="22.5" customHeight="1" x14ac:dyDescent="0.3">
      <c r="B18" s="108" t="s">
        <v>106</v>
      </c>
    </row>
    <row r="19" spans="2:8" ht="22.5" customHeight="1" x14ac:dyDescent="0.25">
      <c r="B19" s="108" t="s">
        <v>107</v>
      </c>
    </row>
    <row r="20" spans="2:8" ht="39" customHeight="1" x14ac:dyDescent="0.3">
      <c r="B20" s="185" t="s">
        <v>108</v>
      </c>
      <c r="C20" s="181"/>
      <c r="D20" s="181"/>
      <c r="E20" s="181"/>
      <c r="F20" s="181"/>
      <c r="G20" s="181"/>
      <c r="H20" s="181"/>
    </row>
    <row r="21" spans="2:8" s="99" customFormat="1" ht="9" customHeight="1" x14ac:dyDescent="0.25"/>
    <row r="22" spans="2:8" ht="24" customHeight="1" x14ac:dyDescent="0.3">
      <c r="B22" s="107" t="s">
        <v>109</v>
      </c>
    </row>
    <row r="23" spans="2:8" ht="24" customHeight="1" x14ac:dyDescent="0.25">
      <c r="B23" s="108" t="s">
        <v>110</v>
      </c>
    </row>
    <row r="24" spans="2:8" ht="24" customHeight="1" x14ac:dyDescent="0.25">
      <c r="B24" s="108" t="s">
        <v>111</v>
      </c>
    </row>
    <row r="25" spans="2:8" s="99" customFormat="1" x14ac:dyDescent="0.25"/>
    <row r="26" spans="2:8" s="99" customFormat="1" x14ac:dyDescent="0.25"/>
  </sheetData>
  <mergeCells count="1">
    <mergeCell ref="B20:H20"/>
  </mergeCells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1:L39"/>
  <sheetViews>
    <sheetView showGridLines="0" topLeftCell="A18" workbookViewId="0">
      <selection activeCell="K41" sqref="K41"/>
    </sheetView>
  </sheetViews>
  <sheetFormatPr defaultColWidth="11.44140625" defaultRowHeight="15" x14ac:dyDescent="0.25"/>
  <cols>
    <col min="1" max="1" width="6.44140625" style="101" customWidth="1"/>
    <col min="2" max="16384" width="11.44140625" style="101"/>
  </cols>
  <sheetData>
    <row r="1" spans="2:3" x14ac:dyDescent="0.25">
      <c r="B1" s="109"/>
    </row>
    <row r="2" spans="2:3" ht="15.6" x14ac:dyDescent="0.3">
      <c r="B2" s="102" t="s">
        <v>112</v>
      </c>
    </row>
    <row r="3" spans="2:3" ht="23.25" customHeight="1" x14ac:dyDescent="0.3">
      <c r="B3" s="110" t="s">
        <v>113</v>
      </c>
    </row>
    <row r="4" spans="2:3" ht="23.25" customHeight="1" x14ac:dyDescent="0.3">
      <c r="B4" s="110" t="s">
        <v>114</v>
      </c>
    </row>
    <row r="5" spans="2:3" ht="23.25" customHeight="1" x14ac:dyDescent="0.3">
      <c r="B5" s="110" t="s">
        <v>115</v>
      </c>
    </row>
    <row r="6" spans="2:3" ht="23.25" customHeight="1" x14ac:dyDescent="0.3">
      <c r="B6" s="110" t="s">
        <v>116</v>
      </c>
    </row>
    <row r="7" spans="2:3" ht="23.25" customHeight="1" x14ac:dyDescent="0.3">
      <c r="C7" s="108" t="s">
        <v>117</v>
      </c>
    </row>
    <row r="9" spans="2:3" ht="15.6" x14ac:dyDescent="0.3">
      <c r="B9" s="102" t="s">
        <v>118</v>
      </c>
    </row>
    <row r="10" spans="2:3" ht="15.6" x14ac:dyDescent="0.3">
      <c r="B10" s="103" t="s">
        <v>119</v>
      </c>
    </row>
    <row r="11" spans="2:3" ht="13.5" customHeight="1" x14ac:dyDescent="0.25"/>
    <row r="12" spans="2:3" ht="24" customHeight="1" x14ac:dyDescent="0.3">
      <c r="B12" s="104" t="s">
        <v>120</v>
      </c>
    </row>
    <row r="13" spans="2:3" ht="24" customHeight="1" x14ac:dyDescent="0.3">
      <c r="B13" s="110" t="s">
        <v>121</v>
      </c>
    </row>
    <row r="14" spans="2:3" ht="24" customHeight="1" x14ac:dyDescent="0.25">
      <c r="B14" s="111" t="s">
        <v>122</v>
      </c>
    </row>
    <row r="15" spans="2:3" ht="24" customHeight="1" x14ac:dyDescent="0.3">
      <c r="B15" s="105" t="s">
        <v>123</v>
      </c>
    </row>
    <row r="16" spans="2:3" ht="24" customHeight="1" x14ac:dyDescent="0.3">
      <c r="B16" s="107" t="s">
        <v>124</v>
      </c>
    </row>
    <row r="17" spans="2:12" ht="24" customHeight="1" x14ac:dyDescent="0.25">
      <c r="B17" s="103" t="s">
        <v>125</v>
      </c>
    </row>
    <row r="18" spans="2:12" x14ac:dyDescent="0.25">
      <c r="B18" s="103" t="s">
        <v>126</v>
      </c>
    </row>
    <row r="19" spans="2:12" ht="10.5" customHeight="1" x14ac:dyDescent="0.25"/>
    <row r="20" spans="2:12" ht="21" customHeight="1" x14ac:dyDescent="0.3">
      <c r="B20" s="110" t="s">
        <v>127</v>
      </c>
    </row>
    <row r="21" spans="2:12" ht="21" customHeight="1" x14ac:dyDescent="0.25">
      <c r="B21" s="103" t="s">
        <v>128</v>
      </c>
    </row>
    <row r="22" spans="2:12" ht="13.5" customHeight="1" x14ac:dyDescent="0.25"/>
    <row r="23" spans="2:12" ht="15.6" x14ac:dyDescent="0.3">
      <c r="B23" s="102" t="s">
        <v>129</v>
      </c>
    </row>
    <row r="24" spans="2:12" ht="23.25" customHeight="1" x14ac:dyDescent="0.3">
      <c r="B24" s="100" t="s">
        <v>130</v>
      </c>
    </row>
    <row r="25" spans="2:12" ht="23.25" customHeight="1" x14ac:dyDescent="0.3">
      <c r="B25" s="110" t="s">
        <v>131</v>
      </c>
    </row>
    <row r="26" spans="2:12" ht="23.25" customHeight="1" x14ac:dyDescent="0.25">
      <c r="B26" s="111" t="s">
        <v>132</v>
      </c>
    </row>
    <row r="27" spans="2:12" x14ac:dyDescent="0.25">
      <c r="B27" s="111"/>
    </row>
    <row r="28" spans="2:12" ht="15.6" x14ac:dyDescent="0.25">
      <c r="B28" s="85" t="s">
        <v>133</v>
      </c>
      <c r="C28" s="112"/>
      <c r="D28" s="112"/>
      <c r="E28" s="112"/>
      <c r="F28" s="112"/>
      <c r="G28" s="112"/>
      <c r="H28" s="112"/>
      <c r="I28" s="112"/>
      <c r="J28" s="112"/>
      <c r="K28" s="112"/>
      <c r="L28" s="113"/>
    </row>
    <row r="29" spans="2:12" ht="15.6" x14ac:dyDescent="0.3">
      <c r="B29" s="114" t="s">
        <v>134</v>
      </c>
      <c r="C29" s="115"/>
      <c r="D29" s="115"/>
      <c r="E29" s="115"/>
      <c r="F29" s="115" t="s">
        <v>135</v>
      </c>
      <c r="G29" s="114"/>
      <c r="H29" s="114"/>
      <c r="I29" s="114"/>
      <c r="J29" s="114"/>
      <c r="K29" s="114"/>
      <c r="L29" s="113"/>
    </row>
    <row r="30" spans="2:12" ht="15.6" x14ac:dyDescent="0.3">
      <c r="B30" s="114" t="s">
        <v>136</v>
      </c>
      <c r="C30" s="115"/>
      <c r="D30" s="115"/>
      <c r="E30" s="115"/>
      <c r="F30" s="115" t="s">
        <v>137</v>
      </c>
      <c r="G30" s="114"/>
      <c r="H30" s="114"/>
      <c r="I30" s="115"/>
      <c r="J30" s="114"/>
      <c r="K30" s="114"/>
      <c r="L30" s="113"/>
    </row>
    <row r="31" spans="2:12" ht="15.6" x14ac:dyDescent="0.3">
      <c r="B31" s="114" t="s">
        <v>138</v>
      </c>
      <c r="C31" s="115"/>
      <c r="D31" s="115"/>
      <c r="E31" s="115"/>
      <c r="F31" s="115" t="s">
        <v>139</v>
      </c>
      <c r="G31" s="114"/>
      <c r="H31" s="114"/>
      <c r="I31" s="115"/>
      <c r="J31" s="114"/>
      <c r="K31" s="58" t="s">
        <v>140</v>
      </c>
      <c r="L31" s="113"/>
    </row>
    <row r="32" spans="2:12" ht="15.6" x14ac:dyDescent="0.3">
      <c r="B32" s="114" t="s">
        <v>141</v>
      </c>
      <c r="C32" s="115"/>
      <c r="D32" s="115"/>
      <c r="E32" s="115"/>
      <c r="F32" s="115" t="s">
        <v>142</v>
      </c>
      <c r="G32" s="114"/>
      <c r="H32" s="114"/>
      <c r="I32" s="114"/>
      <c r="J32" s="114"/>
      <c r="K32" s="114" t="s">
        <v>143</v>
      </c>
      <c r="L32" s="113"/>
    </row>
    <row r="33" spans="2:12" ht="15.6" x14ac:dyDescent="0.3">
      <c r="B33" s="114" t="s">
        <v>144</v>
      </c>
      <c r="C33" s="115"/>
      <c r="D33" s="115"/>
      <c r="E33" s="115"/>
      <c r="F33" s="115" t="s">
        <v>145</v>
      </c>
      <c r="G33" s="114"/>
      <c r="H33" s="114"/>
      <c r="I33" s="114"/>
      <c r="J33" s="114"/>
      <c r="K33" s="116" t="s">
        <v>77</v>
      </c>
      <c r="L33" s="113"/>
    </row>
    <row r="34" spans="2:12" x14ac:dyDescent="0.25">
      <c r="B34" s="114" t="s">
        <v>146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3"/>
    </row>
    <row r="36" spans="2:12" ht="15.6" x14ac:dyDescent="0.3">
      <c r="B36" s="117" t="s">
        <v>147</v>
      </c>
      <c r="C36" s="42"/>
      <c r="D36" s="42"/>
      <c r="E36" s="42"/>
      <c r="F36" s="42"/>
    </row>
    <row r="37" spans="2:12" x14ac:dyDescent="0.25">
      <c r="B37" s="118" t="s">
        <v>148</v>
      </c>
      <c r="C37" s="42"/>
      <c r="D37" s="42"/>
      <c r="E37" s="42"/>
      <c r="F37" s="42"/>
    </row>
    <row r="38" spans="2:12" ht="15.6" x14ac:dyDescent="0.3">
      <c r="B38" s="118" t="s">
        <v>149</v>
      </c>
      <c r="C38" s="42"/>
      <c r="D38" s="42"/>
      <c r="E38" s="42"/>
      <c r="F38" s="42"/>
    </row>
    <row r="39" spans="2:12" ht="15.6" x14ac:dyDescent="0.3">
      <c r="B39" s="119" t="s">
        <v>150</v>
      </c>
      <c r="C39" s="42"/>
      <c r="D39" s="42"/>
      <c r="E39" s="42"/>
      <c r="F39" s="42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autoPict="0" r:id="rId5">
            <anchor moveWithCells="1">
              <from>
                <xdr:col>8</xdr:col>
                <xdr:colOff>693420</xdr:colOff>
                <xdr:row>30</xdr:row>
                <xdr:rowOff>106680</xdr:rowOff>
              </from>
              <to>
                <xdr:col>9</xdr:col>
                <xdr:colOff>678180</xdr:colOff>
                <xdr:row>31</xdr:row>
                <xdr:rowOff>182880</xdr:rowOff>
              </to>
            </anchor>
          </controlPr>
        </control>
      </mc:Choice>
      <mc:Fallback>
        <control shapeId="7170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0]!kysimus">
            <anchor moveWithCells="1" sizeWithCells="1">
              <from>
                <xdr:col>8</xdr:col>
                <xdr:colOff>678180</xdr:colOff>
                <xdr:row>28</xdr:row>
                <xdr:rowOff>22860</xdr:rowOff>
              </from>
              <to>
                <xdr:col>9</xdr:col>
                <xdr:colOff>685800</xdr:colOff>
                <xdr:row>29</xdr:row>
                <xdr:rowOff>45720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1:O35"/>
  <sheetViews>
    <sheetView showGridLines="0" workbookViewId="0">
      <selection activeCell="Q17" sqref="Q17"/>
    </sheetView>
  </sheetViews>
  <sheetFormatPr defaultColWidth="9.109375" defaultRowHeight="15" x14ac:dyDescent="0.25"/>
  <cols>
    <col min="1" max="1" width="4.6640625" style="120" customWidth="1"/>
    <col min="2" max="6" width="9.109375" style="120" customWidth="1"/>
    <col min="7" max="7" width="6.33203125" style="120" customWidth="1"/>
    <col min="8" max="8" width="4.5546875" style="120" customWidth="1"/>
    <col min="9" max="256" width="9.109375" style="120"/>
    <col min="257" max="257" width="4.6640625" style="120" customWidth="1"/>
    <col min="258" max="262" width="9.109375" style="120" customWidth="1"/>
    <col min="263" max="263" width="6.33203125" style="120" customWidth="1"/>
    <col min="264" max="264" width="4.5546875" style="120" customWidth="1"/>
    <col min="265" max="512" width="9.109375" style="120"/>
    <col min="513" max="513" width="4.6640625" style="120" customWidth="1"/>
    <col min="514" max="518" width="9.109375" style="120" customWidth="1"/>
    <col min="519" max="519" width="6.33203125" style="120" customWidth="1"/>
    <col min="520" max="520" width="4.5546875" style="120" customWidth="1"/>
    <col min="521" max="768" width="9.109375" style="120"/>
    <col min="769" max="769" width="4.6640625" style="120" customWidth="1"/>
    <col min="770" max="774" width="9.109375" style="120" customWidth="1"/>
    <col min="775" max="775" width="6.33203125" style="120" customWidth="1"/>
    <col min="776" max="776" width="4.5546875" style="120" customWidth="1"/>
    <col min="777" max="1024" width="9.109375" style="120"/>
    <col min="1025" max="1025" width="4.6640625" style="120" customWidth="1"/>
    <col min="1026" max="1030" width="9.109375" style="120" customWidth="1"/>
    <col min="1031" max="1031" width="6.33203125" style="120" customWidth="1"/>
    <col min="1032" max="1032" width="4.5546875" style="120" customWidth="1"/>
    <col min="1033" max="1280" width="9.109375" style="120"/>
    <col min="1281" max="1281" width="4.6640625" style="120" customWidth="1"/>
    <col min="1282" max="1286" width="9.109375" style="120" customWidth="1"/>
    <col min="1287" max="1287" width="6.33203125" style="120" customWidth="1"/>
    <col min="1288" max="1288" width="4.5546875" style="120" customWidth="1"/>
    <col min="1289" max="1536" width="9.109375" style="120"/>
    <col min="1537" max="1537" width="4.6640625" style="120" customWidth="1"/>
    <col min="1538" max="1542" width="9.109375" style="120" customWidth="1"/>
    <col min="1543" max="1543" width="6.33203125" style="120" customWidth="1"/>
    <col min="1544" max="1544" width="4.5546875" style="120" customWidth="1"/>
    <col min="1545" max="1792" width="9.109375" style="120"/>
    <col min="1793" max="1793" width="4.6640625" style="120" customWidth="1"/>
    <col min="1794" max="1798" width="9.109375" style="120" customWidth="1"/>
    <col min="1799" max="1799" width="6.33203125" style="120" customWidth="1"/>
    <col min="1800" max="1800" width="4.5546875" style="120" customWidth="1"/>
    <col min="1801" max="2048" width="9.109375" style="120"/>
    <col min="2049" max="2049" width="4.6640625" style="120" customWidth="1"/>
    <col min="2050" max="2054" width="9.109375" style="120" customWidth="1"/>
    <col min="2055" max="2055" width="6.33203125" style="120" customWidth="1"/>
    <col min="2056" max="2056" width="4.5546875" style="120" customWidth="1"/>
    <col min="2057" max="2304" width="9.109375" style="120"/>
    <col min="2305" max="2305" width="4.6640625" style="120" customWidth="1"/>
    <col min="2306" max="2310" width="9.109375" style="120" customWidth="1"/>
    <col min="2311" max="2311" width="6.33203125" style="120" customWidth="1"/>
    <col min="2312" max="2312" width="4.5546875" style="120" customWidth="1"/>
    <col min="2313" max="2560" width="9.109375" style="120"/>
    <col min="2561" max="2561" width="4.6640625" style="120" customWidth="1"/>
    <col min="2562" max="2566" width="9.109375" style="120" customWidth="1"/>
    <col min="2567" max="2567" width="6.33203125" style="120" customWidth="1"/>
    <col min="2568" max="2568" width="4.5546875" style="120" customWidth="1"/>
    <col min="2569" max="2816" width="9.109375" style="120"/>
    <col min="2817" max="2817" width="4.6640625" style="120" customWidth="1"/>
    <col min="2818" max="2822" width="9.109375" style="120" customWidth="1"/>
    <col min="2823" max="2823" width="6.33203125" style="120" customWidth="1"/>
    <col min="2824" max="2824" width="4.5546875" style="120" customWidth="1"/>
    <col min="2825" max="3072" width="9.109375" style="120"/>
    <col min="3073" max="3073" width="4.6640625" style="120" customWidth="1"/>
    <col min="3074" max="3078" width="9.109375" style="120" customWidth="1"/>
    <col min="3079" max="3079" width="6.33203125" style="120" customWidth="1"/>
    <col min="3080" max="3080" width="4.5546875" style="120" customWidth="1"/>
    <col min="3081" max="3328" width="9.109375" style="120"/>
    <col min="3329" max="3329" width="4.6640625" style="120" customWidth="1"/>
    <col min="3330" max="3334" width="9.109375" style="120" customWidth="1"/>
    <col min="3335" max="3335" width="6.33203125" style="120" customWidth="1"/>
    <col min="3336" max="3336" width="4.5546875" style="120" customWidth="1"/>
    <col min="3337" max="3584" width="9.109375" style="120"/>
    <col min="3585" max="3585" width="4.6640625" style="120" customWidth="1"/>
    <col min="3586" max="3590" width="9.109375" style="120" customWidth="1"/>
    <col min="3591" max="3591" width="6.33203125" style="120" customWidth="1"/>
    <col min="3592" max="3592" width="4.5546875" style="120" customWidth="1"/>
    <col min="3593" max="3840" width="9.109375" style="120"/>
    <col min="3841" max="3841" width="4.6640625" style="120" customWidth="1"/>
    <col min="3842" max="3846" width="9.109375" style="120" customWidth="1"/>
    <col min="3847" max="3847" width="6.33203125" style="120" customWidth="1"/>
    <col min="3848" max="3848" width="4.5546875" style="120" customWidth="1"/>
    <col min="3849" max="4096" width="9.109375" style="120"/>
    <col min="4097" max="4097" width="4.6640625" style="120" customWidth="1"/>
    <col min="4098" max="4102" width="9.109375" style="120" customWidth="1"/>
    <col min="4103" max="4103" width="6.33203125" style="120" customWidth="1"/>
    <col min="4104" max="4104" width="4.5546875" style="120" customWidth="1"/>
    <col min="4105" max="4352" width="9.109375" style="120"/>
    <col min="4353" max="4353" width="4.6640625" style="120" customWidth="1"/>
    <col min="4354" max="4358" width="9.109375" style="120" customWidth="1"/>
    <col min="4359" max="4359" width="6.33203125" style="120" customWidth="1"/>
    <col min="4360" max="4360" width="4.5546875" style="120" customWidth="1"/>
    <col min="4361" max="4608" width="9.109375" style="120"/>
    <col min="4609" max="4609" width="4.6640625" style="120" customWidth="1"/>
    <col min="4610" max="4614" width="9.109375" style="120" customWidth="1"/>
    <col min="4615" max="4615" width="6.33203125" style="120" customWidth="1"/>
    <col min="4616" max="4616" width="4.5546875" style="120" customWidth="1"/>
    <col min="4617" max="4864" width="9.109375" style="120"/>
    <col min="4865" max="4865" width="4.6640625" style="120" customWidth="1"/>
    <col min="4866" max="4870" width="9.109375" style="120" customWidth="1"/>
    <col min="4871" max="4871" width="6.33203125" style="120" customWidth="1"/>
    <col min="4872" max="4872" width="4.5546875" style="120" customWidth="1"/>
    <col min="4873" max="5120" width="9.109375" style="120"/>
    <col min="5121" max="5121" width="4.6640625" style="120" customWidth="1"/>
    <col min="5122" max="5126" width="9.109375" style="120" customWidth="1"/>
    <col min="5127" max="5127" width="6.33203125" style="120" customWidth="1"/>
    <col min="5128" max="5128" width="4.5546875" style="120" customWidth="1"/>
    <col min="5129" max="5376" width="9.109375" style="120"/>
    <col min="5377" max="5377" width="4.6640625" style="120" customWidth="1"/>
    <col min="5378" max="5382" width="9.109375" style="120" customWidth="1"/>
    <col min="5383" max="5383" width="6.33203125" style="120" customWidth="1"/>
    <col min="5384" max="5384" width="4.5546875" style="120" customWidth="1"/>
    <col min="5385" max="5632" width="9.109375" style="120"/>
    <col min="5633" max="5633" width="4.6640625" style="120" customWidth="1"/>
    <col min="5634" max="5638" width="9.109375" style="120" customWidth="1"/>
    <col min="5639" max="5639" width="6.33203125" style="120" customWidth="1"/>
    <col min="5640" max="5640" width="4.5546875" style="120" customWidth="1"/>
    <col min="5641" max="5888" width="9.109375" style="120"/>
    <col min="5889" max="5889" width="4.6640625" style="120" customWidth="1"/>
    <col min="5890" max="5894" width="9.109375" style="120" customWidth="1"/>
    <col min="5895" max="5895" width="6.33203125" style="120" customWidth="1"/>
    <col min="5896" max="5896" width="4.5546875" style="120" customWidth="1"/>
    <col min="5897" max="6144" width="9.109375" style="120"/>
    <col min="6145" max="6145" width="4.6640625" style="120" customWidth="1"/>
    <col min="6146" max="6150" width="9.109375" style="120" customWidth="1"/>
    <col min="6151" max="6151" width="6.33203125" style="120" customWidth="1"/>
    <col min="6152" max="6152" width="4.5546875" style="120" customWidth="1"/>
    <col min="6153" max="6400" width="9.109375" style="120"/>
    <col min="6401" max="6401" width="4.6640625" style="120" customWidth="1"/>
    <col min="6402" max="6406" width="9.109375" style="120" customWidth="1"/>
    <col min="6407" max="6407" width="6.33203125" style="120" customWidth="1"/>
    <col min="6408" max="6408" width="4.5546875" style="120" customWidth="1"/>
    <col min="6409" max="6656" width="9.109375" style="120"/>
    <col min="6657" max="6657" width="4.6640625" style="120" customWidth="1"/>
    <col min="6658" max="6662" width="9.109375" style="120" customWidth="1"/>
    <col min="6663" max="6663" width="6.33203125" style="120" customWidth="1"/>
    <col min="6664" max="6664" width="4.5546875" style="120" customWidth="1"/>
    <col min="6665" max="6912" width="9.109375" style="120"/>
    <col min="6913" max="6913" width="4.6640625" style="120" customWidth="1"/>
    <col min="6914" max="6918" width="9.109375" style="120" customWidth="1"/>
    <col min="6919" max="6919" width="6.33203125" style="120" customWidth="1"/>
    <col min="6920" max="6920" width="4.5546875" style="120" customWidth="1"/>
    <col min="6921" max="7168" width="9.109375" style="120"/>
    <col min="7169" max="7169" width="4.6640625" style="120" customWidth="1"/>
    <col min="7170" max="7174" width="9.109375" style="120" customWidth="1"/>
    <col min="7175" max="7175" width="6.33203125" style="120" customWidth="1"/>
    <col min="7176" max="7176" width="4.5546875" style="120" customWidth="1"/>
    <col min="7177" max="7424" width="9.109375" style="120"/>
    <col min="7425" max="7425" width="4.6640625" style="120" customWidth="1"/>
    <col min="7426" max="7430" width="9.109375" style="120" customWidth="1"/>
    <col min="7431" max="7431" width="6.33203125" style="120" customWidth="1"/>
    <col min="7432" max="7432" width="4.5546875" style="120" customWidth="1"/>
    <col min="7433" max="7680" width="9.109375" style="120"/>
    <col min="7681" max="7681" width="4.6640625" style="120" customWidth="1"/>
    <col min="7682" max="7686" width="9.109375" style="120" customWidth="1"/>
    <col min="7687" max="7687" width="6.33203125" style="120" customWidth="1"/>
    <col min="7688" max="7688" width="4.5546875" style="120" customWidth="1"/>
    <col min="7689" max="7936" width="9.109375" style="120"/>
    <col min="7937" max="7937" width="4.6640625" style="120" customWidth="1"/>
    <col min="7938" max="7942" width="9.109375" style="120" customWidth="1"/>
    <col min="7943" max="7943" width="6.33203125" style="120" customWidth="1"/>
    <col min="7944" max="7944" width="4.5546875" style="120" customWidth="1"/>
    <col min="7945" max="8192" width="9.109375" style="120"/>
    <col min="8193" max="8193" width="4.6640625" style="120" customWidth="1"/>
    <col min="8194" max="8198" width="9.109375" style="120" customWidth="1"/>
    <col min="8199" max="8199" width="6.33203125" style="120" customWidth="1"/>
    <col min="8200" max="8200" width="4.5546875" style="120" customWidth="1"/>
    <col min="8201" max="8448" width="9.109375" style="120"/>
    <col min="8449" max="8449" width="4.6640625" style="120" customWidth="1"/>
    <col min="8450" max="8454" width="9.109375" style="120" customWidth="1"/>
    <col min="8455" max="8455" width="6.33203125" style="120" customWidth="1"/>
    <col min="8456" max="8456" width="4.5546875" style="120" customWidth="1"/>
    <col min="8457" max="8704" width="9.109375" style="120"/>
    <col min="8705" max="8705" width="4.6640625" style="120" customWidth="1"/>
    <col min="8706" max="8710" width="9.109375" style="120" customWidth="1"/>
    <col min="8711" max="8711" width="6.33203125" style="120" customWidth="1"/>
    <col min="8712" max="8712" width="4.5546875" style="120" customWidth="1"/>
    <col min="8713" max="8960" width="9.109375" style="120"/>
    <col min="8961" max="8961" width="4.6640625" style="120" customWidth="1"/>
    <col min="8962" max="8966" width="9.109375" style="120" customWidth="1"/>
    <col min="8967" max="8967" width="6.33203125" style="120" customWidth="1"/>
    <col min="8968" max="8968" width="4.5546875" style="120" customWidth="1"/>
    <col min="8969" max="9216" width="9.109375" style="120"/>
    <col min="9217" max="9217" width="4.6640625" style="120" customWidth="1"/>
    <col min="9218" max="9222" width="9.109375" style="120" customWidth="1"/>
    <col min="9223" max="9223" width="6.33203125" style="120" customWidth="1"/>
    <col min="9224" max="9224" width="4.5546875" style="120" customWidth="1"/>
    <col min="9225" max="9472" width="9.109375" style="120"/>
    <col min="9473" max="9473" width="4.6640625" style="120" customWidth="1"/>
    <col min="9474" max="9478" width="9.109375" style="120" customWidth="1"/>
    <col min="9479" max="9479" width="6.33203125" style="120" customWidth="1"/>
    <col min="9480" max="9480" width="4.5546875" style="120" customWidth="1"/>
    <col min="9481" max="9728" width="9.109375" style="120"/>
    <col min="9729" max="9729" width="4.6640625" style="120" customWidth="1"/>
    <col min="9730" max="9734" width="9.109375" style="120" customWidth="1"/>
    <col min="9735" max="9735" width="6.33203125" style="120" customWidth="1"/>
    <col min="9736" max="9736" width="4.5546875" style="120" customWidth="1"/>
    <col min="9737" max="9984" width="9.109375" style="120"/>
    <col min="9985" max="9985" width="4.6640625" style="120" customWidth="1"/>
    <col min="9986" max="9990" width="9.109375" style="120" customWidth="1"/>
    <col min="9991" max="9991" width="6.33203125" style="120" customWidth="1"/>
    <col min="9992" max="9992" width="4.5546875" style="120" customWidth="1"/>
    <col min="9993" max="10240" width="9.109375" style="120"/>
    <col min="10241" max="10241" width="4.6640625" style="120" customWidth="1"/>
    <col min="10242" max="10246" width="9.109375" style="120" customWidth="1"/>
    <col min="10247" max="10247" width="6.33203125" style="120" customWidth="1"/>
    <col min="10248" max="10248" width="4.5546875" style="120" customWidth="1"/>
    <col min="10249" max="10496" width="9.109375" style="120"/>
    <col min="10497" max="10497" width="4.6640625" style="120" customWidth="1"/>
    <col min="10498" max="10502" width="9.109375" style="120" customWidth="1"/>
    <col min="10503" max="10503" width="6.33203125" style="120" customWidth="1"/>
    <col min="10504" max="10504" width="4.5546875" style="120" customWidth="1"/>
    <col min="10505" max="10752" width="9.109375" style="120"/>
    <col min="10753" max="10753" width="4.6640625" style="120" customWidth="1"/>
    <col min="10754" max="10758" width="9.109375" style="120" customWidth="1"/>
    <col min="10759" max="10759" width="6.33203125" style="120" customWidth="1"/>
    <col min="10760" max="10760" width="4.5546875" style="120" customWidth="1"/>
    <col min="10761" max="11008" width="9.109375" style="120"/>
    <col min="11009" max="11009" width="4.6640625" style="120" customWidth="1"/>
    <col min="11010" max="11014" width="9.109375" style="120" customWidth="1"/>
    <col min="11015" max="11015" width="6.33203125" style="120" customWidth="1"/>
    <col min="11016" max="11016" width="4.5546875" style="120" customWidth="1"/>
    <col min="11017" max="11264" width="9.109375" style="120"/>
    <col min="11265" max="11265" width="4.6640625" style="120" customWidth="1"/>
    <col min="11266" max="11270" width="9.109375" style="120" customWidth="1"/>
    <col min="11271" max="11271" width="6.33203125" style="120" customWidth="1"/>
    <col min="11272" max="11272" width="4.5546875" style="120" customWidth="1"/>
    <col min="11273" max="11520" width="9.109375" style="120"/>
    <col min="11521" max="11521" width="4.6640625" style="120" customWidth="1"/>
    <col min="11522" max="11526" width="9.109375" style="120" customWidth="1"/>
    <col min="11527" max="11527" width="6.33203125" style="120" customWidth="1"/>
    <col min="11528" max="11528" width="4.5546875" style="120" customWidth="1"/>
    <col min="11529" max="11776" width="9.109375" style="120"/>
    <col min="11777" max="11777" width="4.6640625" style="120" customWidth="1"/>
    <col min="11778" max="11782" width="9.109375" style="120" customWidth="1"/>
    <col min="11783" max="11783" width="6.33203125" style="120" customWidth="1"/>
    <col min="11784" max="11784" width="4.5546875" style="120" customWidth="1"/>
    <col min="11785" max="12032" width="9.109375" style="120"/>
    <col min="12033" max="12033" width="4.6640625" style="120" customWidth="1"/>
    <col min="12034" max="12038" width="9.109375" style="120" customWidth="1"/>
    <col min="12039" max="12039" width="6.33203125" style="120" customWidth="1"/>
    <col min="12040" max="12040" width="4.5546875" style="120" customWidth="1"/>
    <col min="12041" max="12288" width="9.109375" style="120"/>
    <col min="12289" max="12289" width="4.6640625" style="120" customWidth="1"/>
    <col min="12290" max="12294" width="9.109375" style="120" customWidth="1"/>
    <col min="12295" max="12295" width="6.33203125" style="120" customWidth="1"/>
    <col min="12296" max="12296" width="4.5546875" style="120" customWidth="1"/>
    <col min="12297" max="12544" width="9.109375" style="120"/>
    <col min="12545" max="12545" width="4.6640625" style="120" customWidth="1"/>
    <col min="12546" max="12550" width="9.109375" style="120" customWidth="1"/>
    <col min="12551" max="12551" width="6.33203125" style="120" customWidth="1"/>
    <col min="12552" max="12552" width="4.5546875" style="120" customWidth="1"/>
    <col min="12553" max="12800" width="9.109375" style="120"/>
    <col min="12801" max="12801" width="4.6640625" style="120" customWidth="1"/>
    <col min="12802" max="12806" width="9.109375" style="120" customWidth="1"/>
    <col min="12807" max="12807" width="6.33203125" style="120" customWidth="1"/>
    <col min="12808" max="12808" width="4.5546875" style="120" customWidth="1"/>
    <col min="12809" max="13056" width="9.109375" style="120"/>
    <col min="13057" max="13057" width="4.6640625" style="120" customWidth="1"/>
    <col min="13058" max="13062" width="9.109375" style="120" customWidth="1"/>
    <col min="13063" max="13063" width="6.33203125" style="120" customWidth="1"/>
    <col min="13064" max="13064" width="4.5546875" style="120" customWidth="1"/>
    <col min="13065" max="13312" width="9.109375" style="120"/>
    <col min="13313" max="13313" width="4.6640625" style="120" customWidth="1"/>
    <col min="13314" max="13318" width="9.109375" style="120" customWidth="1"/>
    <col min="13319" max="13319" width="6.33203125" style="120" customWidth="1"/>
    <col min="13320" max="13320" width="4.5546875" style="120" customWidth="1"/>
    <col min="13321" max="13568" width="9.109375" style="120"/>
    <col min="13569" max="13569" width="4.6640625" style="120" customWidth="1"/>
    <col min="13570" max="13574" width="9.109375" style="120" customWidth="1"/>
    <col min="13575" max="13575" width="6.33203125" style="120" customWidth="1"/>
    <col min="13576" max="13576" width="4.5546875" style="120" customWidth="1"/>
    <col min="13577" max="13824" width="9.109375" style="120"/>
    <col min="13825" max="13825" width="4.6640625" style="120" customWidth="1"/>
    <col min="13826" max="13830" width="9.109375" style="120" customWidth="1"/>
    <col min="13831" max="13831" width="6.33203125" style="120" customWidth="1"/>
    <col min="13832" max="13832" width="4.5546875" style="120" customWidth="1"/>
    <col min="13833" max="14080" width="9.109375" style="120"/>
    <col min="14081" max="14081" width="4.6640625" style="120" customWidth="1"/>
    <col min="14082" max="14086" width="9.109375" style="120" customWidth="1"/>
    <col min="14087" max="14087" width="6.33203125" style="120" customWidth="1"/>
    <col min="14088" max="14088" width="4.5546875" style="120" customWidth="1"/>
    <col min="14089" max="14336" width="9.109375" style="120"/>
    <col min="14337" max="14337" width="4.6640625" style="120" customWidth="1"/>
    <col min="14338" max="14342" width="9.109375" style="120" customWidth="1"/>
    <col min="14343" max="14343" width="6.33203125" style="120" customWidth="1"/>
    <col min="14344" max="14344" width="4.5546875" style="120" customWidth="1"/>
    <col min="14345" max="14592" width="9.109375" style="120"/>
    <col min="14593" max="14593" width="4.6640625" style="120" customWidth="1"/>
    <col min="14594" max="14598" width="9.109375" style="120" customWidth="1"/>
    <col min="14599" max="14599" width="6.33203125" style="120" customWidth="1"/>
    <col min="14600" max="14600" width="4.5546875" style="120" customWidth="1"/>
    <col min="14601" max="14848" width="9.109375" style="120"/>
    <col min="14849" max="14849" width="4.6640625" style="120" customWidth="1"/>
    <col min="14850" max="14854" width="9.109375" style="120" customWidth="1"/>
    <col min="14855" max="14855" width="6.33203125" style="120" customWidth="1"/>
    <col min="14856" max="14856" width="4.5546875" style="120" customWidth="1"/>
    <col min="14857" max="15104" width="9.109375" style="120"/>
    <col min="15105" max="15105" width="4.6640625" style="120" customWidth="1"/>
    <col min="15106" max="15110" width="9.109375" style="120" customWidth="1"/>
    <col min="15111" max="15111" width="6.33203125" style="120" customWidth="1"/>
    <col min="15112" max="15112" width="4.5546875" style="120" customWidth="1"/>
    <col min="15113" max="15360" width="9.109375" style="120"/>
    <col min="15361" max="15361" width="4.6640625" style="120" customWidth="1"/>
    <col min="15362" max="15366" width="9.109375" style="120" customWidth="1"/>
    <col min="15367" max="15367" width="6.33203125" style="120" customWidth="1"/>
    <col min="15368" max="15368" width="4.5546875" style="120" customWidth="1"/>
    <col min="15369" max="15616" width="9.109375" style="120"/>
    <col min="15617" max="15617" width="4.6640625" style="120" customWidth="1"/>
    <col min="15618" max="15622" width="9.109375" style="120" customWidth="1"/>
    <col min="15623" max="15623" width="6.33203125" style="120" customWidth="1"/>
    <col min="15624" max="15624" width="4.5546875" style="120" customWidth="1"/>
    <col min="15625" max="15872" width="9.109375" style="120"/>
    <col min="15873" max="15873" width="4.6640625" style="120" customWidth="1"/>
    <col min="15874" max="15878" width="9.109375" style="120" customWidth="1"/>
    <col min="15879" max="15879" width="6.33203125" style="120" customWidth="1"/>
    <col min="15880" max="15880" width="4.5546875" style="120" customWidth="1"/>
    <col min="15881" max="16128" width="9.109375" style="120"/>
    <col min="16129" max="16129" width="4.6640625" style="120" customWidth="1"/>
    <col min="16130" max="16134" width="9.109375" style="120" customWidth="1"/>
    <col min="16135" max="16135" width="6.33203125" style="120" customWidth="1"/>
    <col min="16136" max="16136" width="4.5546875" style="120" customWidth="1"/>
    <col min="16137" max="16384" width="9.109375" style="120"/>
  </cols>
  <sheetData>
    <row r="1" spans="2:15" ht="9.75" customHeight="1" x14ac:dyDescent="0.25"/>
    <row r="2" spans="2:15" ht="27" customHeight="1" x14ac:dyDescent="0.25">
      <c r="B2" s="121" t="s">
        <v>151</v>
      </c>
      <c r="C2" s="122"/>
      <c r="D2" s="122"/>
      <c r="E2" s="122"/>
      <c r="F2" s="122"/>
      <c r="G2" s="122"/>
      <c r="H2" s="123" t="s">
        <v>152</v>
      </c>
      <c r="I2" s="124"/>
      <c r="J2" s="124"/>
      <c r="L2" s="124"/>
      <c r="M2" s="124"/>
      <c r="N2" s="124"/>
      <c r="O2" s="124"/>
    </row>
    <row r="3" spans="2:15" ht="21.75" customHeight="1" x14ac:dyDescent="0.25">
      <c r="B3" s="125" t="s">
        <v>153</v>
      </c>
      <c r="C3" s="126"/>
      <c r="D3" s="126"/>
      <c r="E3" s="126"/>
      <c r="F3" s="127"/>
      <c r="G3" s="122"/>
      <c r="H3" s="128" t="s">
        <v>154</v>
      </c>
      <c r="I3" s="129"/>
      <c r="J3" s="129"/>
      <c r="K3" s="129"/>
      <c r="L3" s="129"/>
      <c r="M3" s="129"/>
      <c r="N3" s="130"/>
    </row>
    <row r="4" spans="2:15" ht="21.75" customHeight="1" x14ac:dyDescent="0.25">
      <c r="B4" s="131" t="s">
        <v>155</v>
      </c>
      <c r="C4" s="122"/>
      <c r="D4" s="122"/>
      <c r="E4" s="122"/>
      <c r="F4" s="132"/>
      <c r="G4" s="122"/>
      <c r="H4" s="133" t="s">
        <v>156</v>
      </c>
      <c r="J4" s="124"/>
      <c r="K4" s="124"/>
      <c r="L4" s="124"/>
      <c r="M4" s="124"/>
      <c r="N4" s="124"/>
      <c r="O4" s="124"/>
    </row>
    <row r="5" spans="2:15" ht="21.75" customHeight="1" x14ac:dyDescent="0.25">
      <c r="B5" s="131" t="s">
        <v>157</v>
      </c>
      <c r="C5" s="122"/>
      <c r="D5" s="122"/>
      <c r="E5" s="122"/>
      <c r="F5" s="132"/>
      <c r="G5" s="122"/>
    </row>
    <row r="6" spans="2:15" ht="21.75" customHeight="1" x14ac:dyDescent="0.25">
      <c r="B6" s="131" t="s">
        <v>158</v>
      </c>
      <c r="C6" s="122"/>
      <c r="D6" s="122"/>
      <c r="E6" s="122"/>
      <c r="F6" s="132"/>
      <c r="G6" s="122"/>
      <c r="H6" s="123" t="s">
        <v>159</v>
      </c>
    </row>
    <row r="7" spans="2:15" ht="21.75" customHeight="1" x14ac:dyDescent="0.25">
      <c r="B7" s="131" t="s">
        <v>160</v>
      </c>
      <c r="C7" s="122"/>
      <c r="D7" s="122"/>
      <c r="E7" s="122"/>
      <c r="F7" s="132"/>
      <c r="G7" s="122"/>
      <c r="H7" s="134" t="s">
        <v>161</v>
      </c>
      <c r="I7" s="135"/>
      <c r="J7" s="136"/>
    </row>
    <row r="8" spans="2:15" ht="21.75" customHeight="1" x14ac:dyDescent="0.25">
      <c r="B8" s="137" t="s">
        <v>162</v>
      </c>
      <c r="C8" s="138"/>
      <c r="D8" s="138"/>
      <c r="E8" s="138"/>
      <c r="F8" s="139"/>
      <c r="G8" s="122"/>
      <c r="H8" s="140" t="s">
        <v>163</v>
      </c>
      <c r="I8" s="124"/>
      <c r="J8" s="141"/>
    </row>
    <row r="9" spans="2:15" ht="21.75" customHeight="1" x14ac:dyDescent="0.25">
      <c r="B9" s="142"/>
      <c r="C9" s="122"/>
      <c r="D9" s="122"/>
      <c r="E9" s="122"/>
      <c r="F9" s="122"/>
      <c r="G9" s="122"/>
      <c r="H9" s="143" t="s">
        <v>164</v>
      </c>
      <c r="I9" s="123"/>
      <c r="J9" s="141"/>
    </row>
    <row r="10" spans="2:15" ht="21.75" customHeight="1" x14ac:dyDescent="0.25">
      <c r="C10" s="124"/>
      <c r="D10" s="124"/>
      <c r="E10" s="124"/>
      <c r="F10" s="124"/>
      <c r="G10" s="124"/>
      <c r="H10" s="140" t="s">
        <v>165</v>
      </c>
      <c r="I10" s="123"/>
      <c r="J10" s="141"/>
    </row>
    <row r="11" spans="2:15" ht="20.25" customHeight="1" x14ac:dyDescent="0.25">
      <c r="E11" s="124"/>
      <c r="F11" s="124"/>
      <c r="G11" s="124"/>
      <c r="H11" s="144" t="s">
        <v>166</v>
      </c>
      <c r="I11" s="145"/>
      <c r="J11" s="146"/>
    </row>
    <row r="12" spans="2:15" ht="17.399999999999999" x14ac:dyDescent="0.3">
      <c r="C12" s="147"/>
      <c r="D12" s="147"/>
      <c r="E12" s="124"/>
      <c r="F12" s="124"/>
      <c r="G12" s="124"/>
    </row>
    <row r="13" spans="2:15" ht="17.399999999999999" x14ac:dyDescent="0.3">
      <c r="B13" s="148" t="s">
        <v>167</v>
      </c>
      <c r="C13" s="147"/>
      <c r="D13" s="147"/>
      <c r="E13" s="124"/>
      <c r="F13" s="124"/>
      <c r="G13" s="124"/>
      <c r="H13" s="124"/>
    </row>
    <row r="14" spans="2:15" ht="17.399999999999999" x14ac:dyDescent="0.25">
      <c r="B14" s="149"/>
      <c r="C14" s="149"/>
      <c r="D14" s="149"/>
      <c r="E14" s="124"/>
      <c r="F14" s="124"/>
      <c r="G14" s="124"/>
      <c r="H14" s="124"/>
    </row>
    <row r="15" spans="2:15" ht="17.399999999999999" x14ac:dyDescent="0.25">
      <c r="B15" s="149"/>
      <c r="C15" s="149"/>
      <c r="D15" s="149"/>
      <c r="E15" s="124"/>
      <c r="F15" s="124"/>
      <c r="G15" s="124"/>
      <c r="H15" s="124"/>
    </row>
    <row r="16" spans="2:15" ht="17.399999999999999" x14ac:dyDescent="0.25">
      <c r="B16" s="149"/>
      <c r="C16" s="149"/>
      <c r="D16" s="149"/>
      <c r="E16" s="124"/>
      <c r="F16" s="124"/>
      <c r="G16" s="124"/>
      <c r="H16" s="124"/>
    </row>
    <row r="17" spans="2:15" ht="17.399999999999999" x14ac:dyDescent="0.3">
      <c r="B17" s="147"/>
      <c r="C17" s="147"/>
      <c r="D17" s="147"/>
      <c r="E17" s="124"/>
      <c r="F17" s="124"/>
      <c r="G17" s="124"/>
      <c r="H17" s="124"/>
    </row>
    <row r="18" spans="2:15" ht="17.399999999999999" x14ac:dyDescent="0.3">
      <c r="B18" s="147"/>
      <c r="C18" s="147"/>
      <c r="D18" s="147"/>
      <c r="E18" s="124"/>
      <c r="F18" s="124"/>
      <c r="G18" s="124"/>
      <c r="H18" s="124"/>
    </row>
    <row r="19" spans="2:15" ht="17.399999999999999" x14ac:dyDescent="0.3">
      <c r="B19" s="147"/>
      <c r="C19" s="147"/>
      <c r="D19" s="147"/>
      <c r="E19" s="124"/>
      <c r="F19" s="124"/>
      <c r="G19" s="124"/>
      <c r="H19" s="124"/>
    </row>
    <row r="20" spans="2:15" ht="17.399999999999999" x14ac:dyDescent="0.3">
      <c r="B20" s="147"/>
      <c r="C20" s="147"/>
      <c r="D20" s="147"/>
      <c r="E20" s="124"/>
      <c r="F20" s="124"/>
      <c r="G20" s="124"/>
      <c r="H20" s="124"/>
    </row>
    <row r="21" spans="2:15" ht="17.399999999999999" x14ac:dyDescent="0.3">
      <c r="B21" s="147"/>
      <c r="C21" s="147"/>
      <c r="D21" s="147"/>
      <c r="E21" s="124"/>
      <c r="F21" s="124"/>
      <c r="G21" s="124"/>
      <c r="H21" s="124"/>
    </row>
    <row r="25" spans="2:15" ht="15.6" x14ac:dyDescent="0.3">
      <c r="B25" s="150" t="s">
        <v>168</v>
      </c>
      <c r="D25" s="151"/>
      <c r="E25" s="151"/>
      <c r="F25" s="151"/>
      <c r="G25" s="151"/>
      <c r="H25" s="151"/>
      <c r="I25" s="151"/>
      <c r="J25" s="152"/>
      <c r="K25" s="152"/>
      <c r="L25" s="152"/>
      <c r="M25" s="152"/>
      <c r="N25" s="152"/>
      <c r="O25" s="152"/>
    </row>
    <row r="26" spans="2:15" ht="13.5" customHeight="1" x14ac:dyDescent="0.25">
      <c r="B26" s="152"/>
      <c r="C26" s="186"/>
      <c r="D26" s="186"/>
      <c r="E26" s="186"/>
      <c r="F26" s="186"/>
      <c r="G26" s="186"/>
      <c r="H26" s="186"/>
      <c r="I26" s="186"/>
      <c r="J26" s="152"/>
      <c r="K26" s="152"/>
      <c r="L26" s="152"/>
      <c r="M26" s="152"/>
      <c r="N26" s="152"/>
      <c r="O26" s="152"/>
    </row>
    <row r="27" spans="2:15" ht="17.25" customHeight="1" x14ac:dyDescent="0.25">
      <c r="B27" s="153" t="s">
        <v>169</v>
      </c>
      <c r="C27" s="154"/>
      <c r="D27" s="155"/>
      <c r="E27" s="151"/>
      <c r="G27" s="151"/>
      <c r="H27" s="151"/>
      <c r="I27" s="151"/>
      <c r="J27" s="152"/>
      <c r="K27" s="152"/>
      <c r="L27" s="152"/>
      <c r="M27" s="152"/>
      <c r="N27" s="152"/>
      <c r="O27" s="152"/>
    </row>
    <row r="28" spans="2:15" ht="17.25" customHeight="1" x14ac:dyDescent="0.25">
      <c r="B28" s="156" t="s">
        <v>170</v>
      </c>
      <c r="C28" s="151"/>
      <c r="D28" s="157"/>
      <c r="E28" s="151"/>
      <c r="G28" s="151"/>
      <c r="H28" s="151"/>
      <c r="I28" s="151"/>
      <c r="J28" s="152"/>
      <c r="K28" s="152"/>
      <c r="L28" s="152"/>
      <c r="M28" s="152"/>
      <c r="N28" s="152"/>
      <c r="O28" s="152"/>
    </row>
    <row r="29" spans="2:15" ht="17.25" customHeight="1" x14ac:dyDescent="0.25">
      <c r="B29" s="158"/>
      <c r="C29" s="151" t="s">
        <v>171</v>
      </c>
      <c r="D29" s="157"/>
      <c r="E29" s="151"/>
      <c r="G29" s="151"/>
      <c r="H29" s="151"/>
      <c r="I29" s="151"/>
      <c r="J29" s="152"/>
      <c r="K29" s="152"/>
      <c r="L29" s="152"/>
      <c r="M29" s="152"/>
      <c r="N29" s="152"/>
      <c r="O29" s="152"/>
    </row>
    <row r="30" spans="2:15" ht="17.25" customHeight="1" x14ac:dyDescent="0.25">
      <c r="B30" s="159" t="s">
        <v>172</v>
      </c>
      <c r="C30" s="151"/>
      <c r="D30" s="157"/>
      <c r="E30" s="151"/>
      <c r="G30" s="151"/>
      <c r="H30" s="151"/>
      <c r="I30" s="151"/>
      <c r="J30" s="152"/>
      <c r="K30" s="152"/>
      <c r="L30" s="152"/>
      <c r="M30" s="152"/>
      <c r="N30" s="152"/>
      <c r="O30" s="152"/>
    </row>
    <row r="31" spans="2:15" ht="17.25" customHeight="1" x14ac:dyDescent="0.25">
      <c r="B31" s="158"/>
      <c r="C31" s="151" t="s">
        <v>173</v>
      </c>
      <c r="D31" s="157"/>
      <c r="E31" s="151"/>
      <c r="G31" s="151"/>
      <c r="H31" s="151"/>
      <c r="I31" s="151"/>
      <c r="J31" s="152"/>
      <c r="K31" s="152"/>
      <c r="L31" s="152"/>
      <c r="M31" s="152"/>
      <c r="N31" s="152"/>
      <c r="O31" s="152"/>
    </row>
    <row r="32" spans="2:15" ht="17.25" customHeight="1" x14ac:dyDescent="0.25">
      <c r="B32" s="160" t="s">
        <v>174</v>
      </c>
      <c r="C32" s="161"/>
      <c r="D32" s="162"/>
      <c r="E32" s="151"/>
      <c r="G32" s="151"/>
      <c r="H32" s="151"/>
      <c r="I32" s="151"/>
      <c r="J32" s="152"/>
      <c r="K32" s="152"/>
      <c r="L32" s="152"/>
      <c r="M32" s="152"/>
      <c r="N32" s="152"/>
      <c r="O32" s="152"/>
    </row>
    <row r="33" spans="2:15" x14ac:dyDescent="0.25">
      <c r="B33" s="152"/>
      <c r="C33" s="152"/>
      <c r="D33" s="152"/>
      <c r="E33" s="152"/>
      <c r="F33" s="152"/>
      <c r="G33" s="151"/>
      <c r="H33" s="151"/>
      <c r="I33" s="151"/>
      <c r="J33" s="152"/>
      <c r="K33" s="152"/>
      <c r="L33" s="152"/>
      <c r="M33" s="152"/>
      <c r="N33" s="152"/>
      <c r="O33" s="152"/>
    </row>
    <row r="34" spans="2:15" x14ac:dyDescent="0.25"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</row>
    <row r="35" spans="2:15" x14ac:dyDescent="0.25">
      <c r="B35" s="152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</row>
  </sheetData>
  <mergeCells count="1">
    <mergeCell ref="C26:I26"/>
  </mergeCell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Töölehed</vt:lpstr>
      </vt:variant>
      <vt:variant>
        <vt:i4>10</vt:i4>
      </vt:variant>
      <vt:variant>
        <vt:lpstr>Nimega vahemikud</vt:lpstr>
      </vt:variant>
      <vt:variant>
        <vt:i4>2</vt:i4>
      </vt:variant>
    </vt:vector>
  </HeadingPairs>
  <TitlesOfParts>
    <vt:vector size="12" baseType="lpstr">
      <vt:lpstr>Ülesanne</vt:lpstr>
      <vt:lpstr>Y_1</vt:lpstr>
      <vt:lpstr>Y_2</vt:lpstr>
      <vt:lpstr>Y_3</vt:lpstr>
      <vt:lpstr>Y_4</vt:lpstr>
      <vt:lpstr>Lisad</vt:lpstr>
      <vt:lpstr>VBA_üld </vt:lpstr>
      <vt:lpstr>VBA_red</vt:lpstr>
      <vt:lpstr>VBA_Inter</vt:lpstr>
      <vt:lpstr>Laused</vt:lpstr>
      <vt:lpstr>n</vt:lpstr>
      <vt:lpstr>Protsent</vt:lpstr>
    </vt:vector>
  </TitlesOfParts>
  <Company>Tallinn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 Mironova</dc:creator>
  <cp:lastModifiedBy>Andri Klas</cp:lastModifiedBy>
  <dcterms:created xsi:type="dcterms:W3CDTF">2011-01-27T14:15:22Z</dcterms:created>
  <dcterms:modified xsi:type="dcterms:W3CDTF">2024-03-18T10:06:37Z</dcterms:modified>
</cp:coreProperties>
</file>