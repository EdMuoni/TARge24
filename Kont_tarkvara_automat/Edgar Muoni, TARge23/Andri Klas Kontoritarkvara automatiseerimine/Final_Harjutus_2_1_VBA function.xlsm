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embeddings/oleObject2.bin" ContentType="application/vnd.openxmlformats-officedocument.oleObject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Sellest_töövihikust"/>
  <mc:AlternateContent xmlns:mc="http://schemas.openxmlformats.org/markup-compatibility/2006">
    <mc:Choice Requires="x15">
      <x15ac:absPath xmlns:x15ac="http://schemas.microsoft.com/office/spreadsheetml/2010/11/ac" url="C:\Users\Jazztime\Downloads\Andri Klas Kontoritarkvara automatiseerimine\"/>
    </mc:Choice>
  </mc:AlternateContent>
  <xr:revisionPtr revIDLastSave="0" documentId="13_ncr:1_{889709C9-7C74-4267-939D-BA37FA8B8FE9}" xr6:coauthVersionLast="47" xr6:coauthVersionMax="47" xr10:uidLastSave="{00000000-0000-0000-0000-000000000000}"/>
  <bookViews>
    <workbookView xWindow="-108" yWindow="-108" windowWidth="23256" windowHeight="12576" tabRatio="775" xr2:uid="{00000000-000D-0000-FFFF-FFFF00000000}"/>
  </bookViews>
  <sheets>
    <sheet name="Detail" sheetId="1" r:id="rId1"/>
    <sheet name="Leht1" sheetId="16" r:id="rId2"/>
    <sheet name="Funktsioon" sheetId="13" r:id="rId3"/>
    <sheet name="Funktsioon (näide)" sheetId="12" r:id="rId4"/>
    <sheet name="Kaal" sheetId="10" r:id="rId5"/>
    <sheet name="Hinded" sheetId="11" r:id="rId6"/>
    <sheet name="Abi" sheetId="15" r:id="rId7"/>
    <sheet name="diagrammi elemendid" sheetId="14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13" l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B40" i="13"/>
  <c r="B16" i="13"/>
  <c r="B27" i="13"/>
  <c r="C38" i="13"/>
  <c r="B51" i="13"/>
  <c r="C21" i="13"/>
  <c r="D14" i="10"/>
  <c r="B25" i="13"/>
  <c r="C24" i="13"/>
  <c r="B50" i="13"/>
  <c r="F12" i="11"/>
  <c r="B45" i="13"/>
  <c r="G21" i="1"/>
  <c r="F23" i="1"/>
  <c r="B32" i="13"/>
  <c r="C22" i="13"/>
  <c r="D17" i="10"/>
  <c r="B30" i="13"/>
  <c r="F13" i="11"/>
  <c r="B24" i="13"/>
  <c r="B11" i="13"/>
  <c r="F15" i="11"/>
  <c r="B28" i="13"/>
  <c r="C45" i="13"/>
  <c r="B47" i="13"/>
  <c r="B20" i="13"/>
  <c r="B39" i="13"/>
  <c r="C42" i="13"/>
  <c r="D16" i="10"/>
  <c r="C30" i="13"/>
  <c r="B17" i="13"/>
  <c r="D15" i="10"/>
  <c r="G23" i="1"/>
  <c r="F25" i="1"/>
  <c r="F24" i="1"/>
  <c r="F14" i="11"/>
  <c r="B38" i="13"/>
  <c r="C13" i="13"/>
  <c r="B15" i="13"/>
  <c r="C27" i="13"/>
  <c r="C28" i="13"/>
  <c r="C12" i="13"/>
  <c r="D11" i="10"/>
  <c r="C36" i="13"/>
  <c r="B35" i="13"/>
  <c r="F11" i="11"/>
  <c r="B34" i="13"/>
  <c r="B22" i="13"/>
  <c r="G24" i="1"/>
  <c r="F22" i="1"/>
  <c r="B14" i="13"/>
  <c r="B26" i="13"/>
  <c r="G25" i="1"/>
  <c r="F26" i="1"/>
  <c r="B44" i="13"/>
  <c r="B18" i="13"/>
  <c r="C11" i="13"/>
  <c r="C47" i="13"/>
  <c r="C46" i="13"/>
  <c r="B12" i="13"/>
  <c r="D21" i="10"/>
  <c r="G26" i="1"/>
  <c r="F21" i="1"/>
  <c r="G22" i="1"/>
  <c r="C34" i="13"/>
  <c r="B48" i="13"/>
  <c r="C23" i="13"/>
  <c r="C17" i="13"/>
  <c r="B33" i="13"/>
  <c r="C31" i="13"/>
  <c r="C48" i="13"/>
  <c r="C29" i="13"/>
  <c r="C35" i="13"/>
  <c r="C41" i="13"/>
  <c r="C32" i="13"/>
  <c r="C51" i="13"/>
  <c r="C20" i="13"/>
  <c r="F9" i="11"/>
  <c r="C49" i="13"/>
  <c r="C37" i="13"/>
  <c r="C16" i="13"/>
  <c r="D19" i="10"/>
  <c r="B36" i="13"/>
  <c r="B29" i="13"/>
  <c r="B21" i="13"/>
  <c r="D10" i="10"/>
  <c r="B42" i="13"/>
  <c r="C39" i="13"/>
  <c r="D20" i="10"/>
  <c r="C50" i="13"/>
  <c r="C43" i="13"/>
  <c r="C14" i="13"/>
  <c r="C25" i="13"/>
  <c r="B41" i="13"/>
  <c r="B49" i="13"/>
  <c r="G19" i="1"/>
  <c r="F19" i="1"/>
  <c r="C40" i="13"/>
  <c r="B23" i="13"/>
  <c r="B46" i="13"/>
  <c r="F10" i="11"/>
  <c r="B19" i="13"/>
  <c r="B31" i="13"/>
  <c r="C33" i="13"/>
  <c r="D12" i="10"/>
  <c r="C44" i="13"/>
  <c r="C18" i="13"/>
  <c r="B43" i="13"/>
  <c r="D18" i="10"/>
  <c r="B13" i="13"/>
  <c r="B37" i="13"/>
  <c r="C19" i="13"/>
  <c r="D22" i="10"/>
  <c r="G20" i="1"/>
  <c r="F20" i="1"/>
  <c r="D13" i="10"/>
  <c r="C26" i="13"/>
  <c r="C15" i="13"/>
  <c r="D25" i="10" l="1"/>
  <c r="D24" i="10"/>
  <c r="D26" i="10"/>
  <c r="D2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Irina Amitan</author>
  </authors>
  <commentList>
    <comment ref="C24" authorId="0" shapeId="0" xr:uid="{00000000-0006-0000-0300-000001000000}">
      <text>
        <r>
          <rPr>
            <sz val="8"/>
            <color indexed="81"/>
            <rFont val="Tahoma"/>
            <family val="2"/>
            <charset val="186"/>
          </rPr>
          <t xml:space="preserve">Kasutada funktsioni </t>
        </r>
        <r>
          <rPr>
            <b/>
            <sz val="8"/>
            <color indexed="81"/>
            <rFont val="Tahoma"/>
            <family val="2"/>
            <charset val="186"/>
          </rPr>
          <t>CountIf</t>
        </r>
        <r>
          <rPr>
            <sz val="8"/>
            <color indexed="81"/>
            <rFont val="Tahoma"/>
            <family val="2"/>
            <charset val="186"/>
          </rPr>
          <t xml:space="preserve">
</t>
        </r>
      </text>
    </comment>
    <comment ref="C25" authorId="0" shapeId="0" xr:uid="{00000000-0006-0000-0300-000002000000}">
      <text>
        <r>
          <rPr>
            <sz val="8"/>
            <color indexed="81"/>
            <rFont val="Tahoma"/>
            <family val="2"/>
            <charset val="186"/>
          </rPr>
          <t xml:space="preserve">Kasutada funktsioni </t>
        </r>
        <r>
          <rPr>
            <b/>
            <sz val="8"/>
            <color indexed="81"/>
            <rFont val="Tahoma"/>
            <family val="2"/>
            <charset val="186"/>
          </rPr>
          <t>CountIf</t>
        </r>
        <r>
          <rPr>
            <sz val="8"/>
            <color indexed="81"/>
            <rFont val="Tahoma"/>
            <family val="2"/>
            <charset val="186"/>
          </rPr>
          <t xml:space="preserve">
</t>
        </r>
      </text>
    </comment>
    <comment ref="C26" authorId="0" shapeId="0" xr:uid="{00000000-0006-0000-0300-000003000000}">
      <text>
        <r>
          <rPr>
            <sz val="8"/>
            <color indexed="81"/>
            <rFont val="Tahoma"/>
            <family val="2"/>
            <charset val="186"/>
          </rPr>
          <t xml:space="preserve">Kasutada funktsioni </t>
        </r>
        <r>
          <rPr>
            <b/>
            <sz val="8"/>
            <color indexed="81"/>
            <rFont val="Tahoma"/>
            <family val="2"/>
            <charset val="186"/>
          </rPr>
          <t>CountIf</t>
        </r>
        <r>
          <rPr>
            <sz val="8"/>
            <color indexed="81"/>
            <rFont val="Tahoma"/>
            <family val="2"/>
            <charset val="186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<sst xmlns="http://schemas.openxmlformats.org/spreadsheetml/2006/main" count="97" uniqueCount="80">
  <si>
    <t>Pikkus</t>
  </si>
  <si>
    <t>Kaal</t>
  </si>
  <si>
    <t>Õige tulemus</t>
  </si>
  <si>
    <t>Tulemus oma funktsiooniga</t>
  </si>
  <si>
    <t>normaalne</t>
  </si>
  <si>
    <t>alakaaluline</t>
  </si>
  <si>
    <t>ülekaaluline</t>
  </si>
  <si>
    <t>Reeglid:</t>
  </si>
  <si>
    <t>0-49p.</t>
  </si>
  <si>
    <t>Punktid</t>
  </si>
  <si>
    <t>Hinne</t>
  </si>
  <si>
    <t>50-59p.</t>
  </si>
  <si>
    <t>60-69p.</t>
  </si>
  <si>
    <t>70-79p.</t>
  </si>
  <si>
    <t>80-89p.</t>
  </si>
  <si>
    <t>90-100p</t>
  </si>
  <si>
    <t>Tabel</t>
  </si>
  <si>
    <t>Tudeng</t>
  </si>
  <si>
    <t>Mari</t>
  </si>
  <si>
    <t>Jüri</t>
  </si>
  <si>
    <t>Ants</t>
  </si>
  <si>
    <t>Anne</t>
  </si>
  <si>
    <t>Merike</t>
  </si>
  <si>
    <t>Juhan</t>
  </si>
  <si>
    <t>Sven</t>
  </si>
  <si>
    <t>Nimetus</t>
  </si>
  <si>
    <t>b</t>
  </si>
  <si>
    <t>h</t>
  </si>
  <si>
    <t>L</t>
  </si>
  <si>
    <t>klots1</t>
  </si>
  <si>
    <t>klots2</t>
  </si>
  <si>
    <t>klots3</t>
  </si>
  <si>
    <t>klots4</t>
  </si>
  <si>
    <t>klots5</t>
  </si>
  <si>
    <t>klots6</t>
  </si>
  <si>
    <t>klots7</t>
  </si>
  <si>
    <t>klots8</t>
  </si>
  <si>
    <t>S</t>
  </si>
  <si>
    <t>V</t>
  </si>
  <si>
    <t>Kokku:</t>
  </si>
  <si>
    <t>x</t>
  </si>
  <si>
    <t>F1</t>
  </si>
  <si>
    <t>F2</t>
  </si>
  <si>
    <t>x0=</t>
  </si>
  <si>
    <t>samm=</t>
  </si>
  <si>
    <r>
      <t xml:space="preserve">F2 = </t>
    </r>
    <r>
      <rPr>
        <sz val="26"/>
        <rFont val="Times"/>
        <charset val="186"/>
      </rPr>
      <t>{</t>
    </r>
  </si>
  <si>
    <t xml:space="preserve">F1=       </t>
  </si>
  <si>
    <r>
      <t>0,2sin</t>
    </r>
    <r>
      <rPr>
        <vertAlign val="superscript"/>
        <sz val="10"/>
        <rFont val="Arial"/>
        <family val="2"/>
        <charset val="186"/>
      </rPr>
      <t>2</t>
    </r>
    <r>
      <rPr>
        <sz val="10"/>
        <rFont val="Arial"/>
        <family val="2"/>
        <charset val="186"/>
      </rPr>
      <t>x</t>
    </r>
  </si>
  <si>
    <t>kui x &lt; 1</t>
  </si>
  <si>
    <t>kui x&gt;=1</t>
  </si>
  <si>
    <t>ln(x)</t>
  </si>
  <si>
    <r>
      <t>x</t>
    </r>
    <r>
      <rPr>
        <vertAlign val="superscript"/>
        <sz val="10"/>
        <rFont val="Arial"/>
        <family val="2"/>
        <charset val="186"/>
      </rPr>
      <t>3</t>
    </r>
  </si>
  <si>
    <t>Andmed võrdluseks</t>
  </si>
  <si>
    <t>Diagrammi näide</t>
  </si>
  <si>
    <t>Diagrammide näited</t>
  </si>
  <si>
    <t>Lause peab paiknema ühel real</t>
  </si>
  <si>
    <t xml:space="preserve">  laused ja kommentaarid</t>
  </si>
  <si>
    <t>End Function</t>
  </si>
  <si>
    <t>End If</t>
  </si>
  <si>
    <t>[ laused-k ] }</t>
  </si>
  <si>
    <t xml:space="preserve"> [ laused ] ]</t>
  </si>
  <si>
    <t>End Select</t>
  </si>
  <si>
    <r>
      <t>Function</t>
    </r>
    <r>
      <rPr>
        <b/>
        <sz val="12"/>
        <rFont val="Arial"/>
        <family val="2"/>
        <charset val="186"/>
      </rPr>
      <t>-protseduuri tüüpstruktuur</t>
    </r>
  </si>
  <si>
    <r>
      <t xml:space="preserve">Üherealine </t>
    </r>
    <r>
      <rPr>
        <b/>
        <sz val="12"/>
        <color indexed="12"/>
        <rFont val="Arial"/>
        <family val="2"/>
        <charset val="186"/>
      </rPr>
      <t>If</t>
    </r>
    <r>
      <rPr>
        <b/>
        <sz val="12"/>
        <rFont val="Arial"/>
        <family val="2"/>
        <charset val="186"/>
      </rPr>
      <t>-lause</t>
    </r>
  </si>
  <si>
    <r>
      <t>Function</t>
    </r>
    <r>
      <rPr>
        <sz val="12"/>
        <rFont val="Arial"/>
        <family val="2"/>
        <charset val="186"/>
      </rPr>
      <t xml:space="preserve"> </t>
    </r>
    <r>
      <rPr>
        <b/>
        <sz val="12"/>
        <rFont val="Arial"/>
        <family val="2"/>
        <charset val="186"/>
      </rPr>
      <t>F_nimi</t>
    </r>
    <r>
      <rPr>
        <sz val="12"/>
        <rFont val="Arial"/>
        <family val="2"/>
        <charset val="186"/>
      </rPr>
      <t xml:space="preserve"> ( [</t>
    </r>
    <r>
      <rPr>
        <b/>
        <i/>
        <sz val="12"/>
        <rFont val="Arial"/>
        <family val="2"/>
        <charset val="186"/>
      </rPr>
      <t xml:space="preserve"> parameetrid</t>
    </r>
    <r>
      <rPr>
        <sz val="12"/>
        <rFont val="Arial"/>
        <family val="2"/>
        <charset val="186"/>
      </rPr>
      <t xml:space="preserve"> ] )</t>
    </r>
  </si>
  <si>
    <r>
      <t>If</t>
    </r>
    <r>
      <rPr>
        <b/>
        <i/>
        <sz val="12"/>
        <rFont val="Arial"/>
        <family val="2"/>
        <charset val="186"/>
      </rPr>
      <t xml:space="preserve"> </t>
    </r>
    <r>
      <rPr>
        <i/>
        <sz val="12"/>
        <rFont val="Arial"/>
        <family val="2"/>
        <charset val="186"/>
      </rPr>
      <t>tingimus</t>
    </r>
    <r>
      <rPr>
        <b/>
        <sz val="12"/>
        <rFont val="Arial"/>
        <family val="2"/>
        <charset val="186"/>
      </rPr>
      <t xml:space="preserve"> </t>
    </r>
    <r>
      <rPr>
        <b/>
        <sz val="12"/>
        <color indexed="12"/>
        <rFont val="Arial"/>
        <family val="2"/>
        <charset val="186"/>
      </rPr>
      <t>Then</t>
    </r>
    <r>
      <rPr>
        <b/>
        <sz val="12"/>
        <rFont val="Arial"/>
        <family val="2"/>
        <charset val="186"/>
      </rPr>
      <t xml:space="preserve"> </t>
    </r>
    <r>
      <rPr>
        <b/>
        <i/>
        <sz val="12"/>
        <rFont val="Arial"/>
        <family val="2"/>
        <charset val="186"/>
      </rPr>
      <t>laused_1</t>
    </r>
    <r>
      <rPr>
        <b/>
        <sz val="12"/>
        <rFont val="Arial"/>
        <family val="2"/>
        <charset val="186"/>
      </rPr>
      <t xml:space="preserve">  </t>
    </r>
    <r>
      <rPr>
        <sz val="12"/>
        <rFont val="Arial"/>
        <family val="2"/>
        <charset val="186"/>
      </rPr>
      <t>[</t>
    </r>
    <r>
      <rPr>
        <b/>
        <sz val="12"/>
        <rFont val="Arial"/>
        <family val="2"/>
        <charset val="186"/>
      </rPr>
      <t xml:space="preserve"> </t>
    </r>
    <r>
      <rPr>
        <b/>
        <sz val="12"/>
        <color indexed="12"/>
        <rFont val="Arial"/>
        <family val="2"/>
        <charset val="186"/>
      </rPr>
      <t>Else</t>
    </r>
    <r>
      <rPr>
        <b/>
        <i/>
        <sz val="12"/>
        <rFont val="Arial"/>
        <family val="2"/>
        <charset val="186"/>
      </rPr>
      <t xml:space="preserve"> laused_2</t>
    </r>
    <r>
      <rPr>
        <sz val="12"/>
        <rFont val="Arial"/>
        <family val="2"/>
        <charset val="186"/>
      </rPr>
      <t xml:space="preserve"> ]</t>
    </r>
  </si>
  <si>
    <r>
      <t xml:space="preserve">[ </t>
    </r>
    <r>
      <rPr>
        <b/>
        <sz val="12"/>
        <color indexed="12"/>
        <rFont val="Arial"/>
        <family val="2"/>
        <charset val="186"/>
      </rPr>
      <t xml:space="preserve">Const </t>
    </r>
    <r>
      <rPr>
        <b/>
        <i/>
        <sz val="12"/>
        <rFont val="Arial"/>
        <family val="2"/>
        <charset val="186"/>
      </rPr>
      <t xml:space="preserve">konstandid </t>
    </r>
    <r>
      <rPr>
        <sz val="12"/>
        <rFont val="Arial"/>
        <family val="2"/>
        <charset val="186"/>
      </rPr>
      <t>]</t>
    </r>
  </si>
  <si>
    <r>
      <t xml:space="preserve">[ </t>
    </r>
    <r>
      <rPr>
        <b/>
        <sz val="12"/>
        <color indexed="12"/>
        <rFont val="Arial"/>
        <family val="2"/>
        <charset val="186"/>
      </rPr>
      <t xml:space="preserve">Dim </t>
    </r>
    <r>
      <rPr>
        <b/>
        <i/>
        <sz val="12"/>
        <rFont val="Arial"/>
        <family val="2"/>
        <charset val="186"/>
      </rPr>
      <t>muutujad</t>
    </r>
    <r>
      <rPr>
        <sz val="12"/>
        <rFont val="Arial"/>
        <family val="2"/>
        <charset val="186"/>
      </rPr>
      <t xml:space="preserve"> ]</t>
    </r>
  </si>
  <si>
    <r>
      <t xml:space="preserve"> </t>
    </r>
    <r>
      <rPr>
        <b/>
        <sz val="12"/>
        <rFont val="Arial"/>
        <family val="2"/>
        <charset val="186"/>
      </rPr>
      <t xml:space="preserve"> F_nimi</t>
    </r>
    <r>
      <rPr>
        <sz val="12"/>
        <rFont val="Arial"/>
        <family val="2"/>
        <charset val="186"/>
      </rPr>
      <t xml:space="preserve"> =</t>
    </r>
    <r>
      <rPr>
        <b/>
        <i/>
        <sz val="12"/>
        <rFont val="Arial"/>
        <family val="2"/>
        <charset val="186"/>
      </rPr>
      <t xml:space="preserve"> tagastatav väärtus</t>
    </r>
  </si>
  <si>
    <r>
      <t>Mitmerealise</t>
    </r>
    <r>
      <rPr>
        <b/>
        <sz val="12"/>
        <color indexed="12"/>
        <rFont val="Arial"/>
        <family val="2"/>
        <charset val="186"/>
      </rPr>
      <t xml:space="preserve"> If</t>
    </r>
    <r>
      <rPr>
        <b/>
        <sz val="12"/>
        <rFont val="Arial"/>
        <family val="2"/>
        <charset val="186"/>
      </rPr>
      <t>-lause põhivariant (kahendvalik)</t>
    </r>
  </si>
  <si>
    <r>
      <t>If</t>
    </r>
    <r>
      <rPr>
        <b/>
        <i/>
        <sz val="12"/>
        <color indexed="12"/>
        <rFont val="Arial"/>
        <family val="2"/>
        <charset val="186"/>
      </rPr>
      <t xml:space="preserve"> </t>
    </r>
    <r>
      <rPr>
        <i/>
        <sz val="12"/>
        <rFont val="Arial"/>
        <family val="2"/>
        <charset val="186"/>
      </rPr>
      <t>tingimus</t>
    </r>
    <r>
      <rPr>
        <b/>
        <sz val="12"/>
        <rFont val="Arial"/>
        <family val="2"/>
        <charset val="186"/>
      </rPr>
      <t xml:space="preserve"> </t>
    </r>
    <r>
      <rPr>
        <b/>
        <sz val="12"/>
        <color indexed="12"/>
        <rFont val="Arial"/>
        <family val="2"/>
        <charset val="186"/>
      </rPr>
      <t>Then</t>
    </r>
  </si>
  <si>
    <r>
      <t>laused_1</t>
    </r>
    <r>
      <rPr>
        <b/>
        <sz val="12"/>
        <rFont val="Arial"/>
        <family val="2"/>
        <charset val="186"/>
      </rPr>
      <t xml:space="preserve">  </t>
    </r>
  </si>
  <si>
    <r>
      <t>[</t>
    </r>
    <r>
      <rPr>
        <b/>
        <sz val="12"/>
        <rFont val="Arial"/>
        <family val="2"/>
        <charset val="186"/>
      </rPr>
      <t xml:space="preserve"> </t>
    </r>
    <r>
      <rPr>
        <b/>
        <sz val="12"/>
        <color indexed="12"/>
        <rFont val="Arial"/>
        <family val="2"/>
        <charset val="186"/>
      </rPr>
      <t>Else</t>
    </r>
    <r>
      <rPr>
        <b/>
        <sz val="12"/>
        <rFont val="Arial"/>
        <family val="2"/>
        <charset val="186"/>
      </rPr>
      <t xml:space="preserve"> </t>
    </r>
  </si>
  <si>
    <r>
      <t>laused_2</t>
    </r>
    <r>
      <rPr>
        <sz val="12"/>
        <rFont val="Arial"/>
        <family val="2"/>
        <charset val="186"/>
      </rPr>
      <t xml:space="preserve"> ]</t>
    </r>
  </si>
  <si>
    <r>
      <t>Select Case</t>
    </r>
    <r>
      <rPr>
        <b/>
        <sz val="12"/>
        <rFont val="Arial"/>
        <family val="2"/>
        <charset val="186"/>
      </rPr>
      <t>-lause</t>
    </r>
  </si>
  <si>
    <r>
      <t xml:space="preserve"> </t>
    </r>
    <r>
      <rPr>
        <b/>
        <sz val="12"/>
        <color indexed="12"/>
        <rFont val="Arial"/>
        <family val="2"/>
        <charset val="186"/>
      </rPr>
      <t>Select Case</t>
    </r>
    <r>
      <rPr>
        <sz val="12"/>
        <rFont val="Arial"/>
        <family val="2"/>
        <charset val="186"/>
      </rPr>
      <t xml:space="preserve"> selektor</t>
    </r>
  </si>
  <si>
    <r>
      <t xml:space="preserve">{ </t>
    </r>
    <r>
      <rPr>
        <b/>
        <sz val="12"/>
        <color indexed="12"/>
        <rFont val="Arial"/>
        <family val="2"/>
        <charset val="186"/>
      </rPr>
      <t>Case</t>
    </r>
    <r>
      <rPr>
        <sz val="12"/>
        <rFont val="Arial"/>
        <family val="2"/>
        <charset val="186"/>
      </rPr>
      <t xml:space="preserve"> kriteerium-k</t>
    </r>
  </si>
  <si>
    <r>
      <t xml:space="preserve">[ </t>
    </r>
    <r>
      <rPr>
        <b/>
        <sz val="12"/>
        <color indexed="12"/>
        <rFont val="Arial"/>
        <family val="2"/>
        <charset val="186"/>
      </rPr>
      <t>Case Else</t>
    </r>
  </si>
  <si>
    <r>
      <t>If</t>
    </r>
    <r>
      <rPr>
        <b/>
        <sz val="12"/>
        <rFont val="Arial"/>
        <family val="2"/>
      </rPr>
      <t>-plokk</t>
    </r>
    <r>
      <rPr>
        <sz val="12"/>
        <rFont val="Arial"/>
        <family val="2"/>
      </rPr>
      <t xml:space="preserve"> - üldjuht</t>
    </r>
  </si>
  <si>
    <t>Arvud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</si>
</sst>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2"/>
      <name val="Arial"/>
      <charset val="186"/>
    </font>
    <font>
      <sz val="14"/>
      <name val="Arial"/>
      <family val="2"/>
    </font>
    <font>
      <b/>
      <sz val="14"/>
      <name val="Arial"/>
      <family val="2"/>
    </font>
    <font>
      <sz val="10"/>
      <name val="Arial"/>
      <family val="2"/>
      <charset val="186"/>
    </font>
    <font>
      <b/>
      <sz val="10"/>
      <name val="Arial"/>
      <family val="2"/>
    </font>
    <font>
      <b/>
      <sz val="10"/>
      <name val="Arial"/>
      <family val="2"/>
      <charset val="186"/>
    </font>
    <font>
      <b/>
      <i/>
      <sz val="10"/>
      <name val="Arial"/>
      <family val="2"/>
      <charset val="186"/>
    </font>
    <font>
      <i/>
      <sz val="10"/>
      <name val="Arial"/>
      <family val="2"/>
      <charset val="186"/>
    </font>
    <font>
      <b/>
      <sz val="11"/>
      <color indexed="18"/>
      <name val="Arial"/>
      <family val="2"/>
    </font>
    <font>
      <sz val="8"/>
      <name val="Arial"/>
      <family val="2"/>
      <charset val="186"/>
    </font>
    <font>
      <b/>
      <sz val="12"/>
      <name val="Arial"/>
      <family val="2"/>
      <charset val="186"/>
    </font>
    <font>
      <b/>
      <i/>
      <sz val="12"/>
      <name val="Arial"/>
      <family val="2"/>
      <charset val="186"/>
    </font>
    <font>
      <sz val="11"/>
      <name val="Arial"/>
      <family val="2"/>
      <charset val="186"/>
    </font>
    <font>
      <b/>
      <sz val="11"/>
      <name val="Arial"/>
      <family val="2"/>
      <charset val="186"/>
    </font>
    <font>
      <b/>
      <sz val="10"/>
      <name val="Arial"/>
      <family val="2"/>
      <charset val="186"/>
    </font>
    <font>
      <sz val="26"/>
      <name val="Times"/>
      <charset val="186"/>
    </font>
    <font>
      <vertAlign val="superscript"/>
      <sz val="10"/>
      <name val="Arial"/>
      <family val="2"/>
      <charset val="186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  <charset val="186"/>
    </font>
    <font>
      <b/>
      <sz val="11"/>
      <name val="Arial"/>
      <family val="2"/>
      <charset val="186"/>
    </font>
    <font>
      <sz val="8"/>
      <color indexed="81"/>
      <name val="Tahoma"/>
      <family val="2"/>
      <charset val="186"/>
    </font>
    <font>
      <b/>
      <sz val="8"/>
      <color indexed="81"/>
      <name val="Tahoma"/>
      <family val="2"/>
      <charset val="186"/>
    </font>
    <font>
      <b/>
      <sz val="12"/>
      <color indexed="12"/>
      <name val="Arial"/>
      <family val="2"/>
      <charset val="186"/>
    </font>
    <font>
      <b/>
      <sz val="12"/>
      <name val="Arial"/>
      <family val="2"/>
      <charset val="186"/>
    </font>
    <font>
      <sz val="12"/>
      <name val="Arial"/>
      <family val="2"/>
      <charset val="186"/>
    </font>
    <font>
      <b/>
      <i/>
      <sz val="12"/>
      <name val="Arial"/>
      <family val="2"/>
      <charset val="186"/>
    </font>
    <font>
      <i/>
      <sz val="12"/>
      <name val="Arial"/>
      <family val="2"/>
      <charset val="186"/>
    </font>
    <font>
      <b/>
      <i/>
      <sz val="12"/>
      <color indexed="12"/>
      <name val="Arial"/>
      <family val="2"/>
      <charset val="186"/>
    </font>
    <font>
      <sz val="12"/>
      <name val="Arial"/>
      <family val="2"/>
      <charset val="186"/>
    </font>
    <font>
      <b/>
      <sz val="12"/>
      <color indexed="12"/>
      <name val="Arial"/>
      <family val="2"/>
      <charset val="186"/>
    </font>
    <font>
      <sz val="12"/>
      <color rgb="FF00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0" borderId="0"/>
    <xf numFmtId="0" fontId="3" fillId="0" borderId="0"/>
    <xf numFmtId="0" fontId="3" fillId="0" borderId="0"/>
    <xf numFmtId="0" fontId="17" fillId="0" borderId="0"/>
    <xf numFmtId="0" fontId="17" fillId="0" borderId="0"/>
  </cellStyleXfs>
  <cellXfs count="96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/>
    <xf numFmtId="0" fontId="3" fillId="0" borderId="0" xfId="3"/>
    <xf numFmtId="0" fontId="5" fillId="0" borderId="1" xfId="3" applyFont="1" applyBorder="1" applyAlignment="1">
      <alignment horizontal="right" wrapText="1"/>
    </xf>
    <xf numFmtId="0" fontId="6" fillId="0" borderId="1" xfId="3" applyFont="1" applyBorder="1" applyAlignment="1">
      <alignment wrapText="1"/>
    </xf>
    <xf numFmtId="0" fontId="4" fillId="0" borderId="1" xfId="3" applyFont="1" applyBorder="1" applyAlignment="1">
      <alignment wrapText="1"/>
    </xf>
    <xf numFmtId="0" fontId="3" fillId="2" borderId="1" xfId="3" applyFill="1" applyBorder="1" applyAlignment="1">
      <alignment horizontal="right" wrapText="1"/>
    </xf>
    <xf numFmtId="0" fontId="7" fillId="2" borderId="1" xfId="3" applyFont="1" applyFill="1" applyBorder="1"/>
    <xf numFmtId="0" fontId="11" fillId="0" borderId="0" xfId="0" applyFont="1"/>
    <xf numFmtId="0" fontId="3" fillId="3" borderId="2" xfId="0" applyFont="1" applyFill="1" applyBorder="1"/>
    <xf numFmtId="0" fontId="3" fillId="3" borderId="3" xfId="0" applyFont="1" applyFill="1" applyBorder="1"/>
    <xf numFmtId="0" fontId="3" fillId="0" borderId="0" xfId="0" applyFont="1"/>
    <xf numFmtId="0" fontId="3" fillId="3" borderId="4" xfId="0" applyFont="1" applyFill="1" applyBorder="1"/>
    <xf numFmtId="0" fontId="3" fillId="3" borderId="0" xfId="0" applyFont="1" applyFill="1"/>
    <xf numFmtId="0" fontId="3" fillId="3" borderId="5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0" fontId="3" fillId="3" borderId="8" xfId="0" applyFont="1" applyFill="1" applyBorder="1"/>
    <xf numFmtId="0" fontId="14" fillId="0" borderId="1" xfId="0" applyFont="1" applyBorder="1"/>
    <xf numFmtId="0" fontId="3" fillId="3" borderId="9" xfId="0" applyFont="1" applyFill="1" applyBorder="1" applyAlignment="1">
      <alignment horizontal="center"/>
    </xf>
    <xf numFmtId="0" fontId="14" fillId="0" borderId="0" xfId="0" applyFont="1"/>
    <xf numFmtId="0" fontId="3" fillId="4" borderId="1" xfId="3" applyFill="1" applyBorder="1"/>
    <xf numFmtId="0" fontId="3" fillId="0" borderId="0" xfId="0" applyFont="1" applyAlignment="1">
      <alignment horizontal="center"/>
    </xf>
    <xf numFmtId="2" fontId="3" fillId="0" borderId="0" xfId="0" applyNumberFormat="1" applyFont="1"/>
    <xf numFmtId="0" fontId="14" fillId="2" borderId="1" xfId="0" applyFont="1" applyFill="1" applyBorder="1"/>
    <xf numFmtId="0" fontId="14" fillId="0" borderId="0" xfId="3" applyFont="1"/>
    <xf numFmtId="0" fontId="12" fillId="0" borderId="0" xfId="0" applyFont="1"/>
    <xf numFmtId="0" fontId="13" fillId="0" borderId="1" xfId="0" applyFont="1" applyBorder="1"/>
    <xf numFmtId="0" fontId="12" fillId="0" borderId="1" xfId="0" applyFont="1" applyBorder="1"/>
    <xf numFmtId="0" fontId="20" fillId="0" borderId="0" xfId="0" applyFont="1"/>
    <xf numFmtId="0" fontId="19" fillId="0" borderId="0" xfId="0" applyFont="1"/>
    <xf numFmtId="0" fontId="19" fillId="0" borderId="1" xfId="0" applyFont="1" applyBorder="1"/>
    <xf numFmtId="0" fontId="20" fillId="5" borderId="1" xfId="0" applyFont="1" applyFill="1" applyBorder="1"/>
    <xf numFmtId="0" fontId="19" fillId="2" borderId="1" xfId="0" applyFont="1" applyFill="1" applyBorder="1"/>
    <xf numFmtId="0" fontId="19" fillId="4" borderId="1" xfId="0" applyFont="1" applyFill="1" applyBorder="1"/>
    <xf numFmtId="0" fontId="3" fillId="0" borderId="0" xfId="2"/>
    <xf numFmtId="0" fontId="23" fillId="0" borderId="0" xfId="1" applyFont="1" applyAlignment="1">
      <alignment vertical="center"/>
    </xf>
    <xf numFmtId="0" fontId="25" fillId="0" borderId="0" xfId="1" applyFont="1" applyAlignment="1">
      <alignment vertical="center"/>
    </xf>
    <xf numFmtId="0" fontId="25" fillId="0" borderId="0" xfId="1" applyFont="1"/>
    <xf numFmtId="0" fontId="24" fillId="0" borderId="0" xfId="4" applyFont="1" applyAlignment="1">
      <alignment horizontal="left" vertical="center"/>
    </xf>
    <xf numFmtId="0" fontId="25" fillId="0" borderId="0" xfId="4" applyFont="1" applyAlignment="1">
      <alignment horizontal="left" vertical="center"/>
    </xf>
    <xf numFmtId="0" fontId="23" fillId="0" borderId="9" xfId="1" applyFont="1" applyBorder="1" applyAlignment="1">
      <alignment horizontal="left" vertical="center" indent="1"/>
    </xf>
    <xf numFmtId="0" fontId="25" fillId="0" borderId="2" xfId="1" applyFont="1" applyBorder="1" applyAlignment="1">
      <alignment vertical="center"/>
    </xf>
    <xf numFmtId="0" fontId="25" fillId="0" borderId="3" xfId="1" applyFont="1" applyBorder="1" applyAlignment="1">
      <alignment vertical="center"/>
    </xf>
    <xf numFmtId="0" fontId="23" fillId="4" borderId="10" xfId="4" applyFont="1" applyFill="1" applyBorder="1" applyAlignment="1">
      <alignment horizontal="left" vertical="center" indent="2"/>
    </xf>
    <xf numFmtId="0" fontId="25" fillId="4" borderId="11" xfId="4" applyFont="1" applyFill="1" applyBorder="1" applyAlignment="1">
      <alignment horizontal="left" vertical="center"/>
    </xf>
    <xf numFmtId="0" fontId="25" fillId="4" borderId="12" xfId="4" applyFont="1" applyFill="1" applyBorder="1" applyAlignment="1">
      <alignment horizontal="left" vertical="center"/>
    </xf>
    <xf numFmtId="0" fontId="25" fillId="0" borderId="4" xfId="1" applyFont="1" applyBorder="1" applyAlignment="1">
      <alignment horizontal="left" vertical="center" indent="2"/>
    </xf>
    <xf numFmtId="0" fontId="25" fillId="0" borderId="5" xfId="1" applyFont="1" applyBorder="1" applyAlignment="1">
      <alignment vertical="center"/>
    </xf>
    <xf numFmtId="0" fontId="25" fillId="0" borderId="0" xfId="4" applyFont="1" applyAlignment="1">
      <alignment horizontal="left" vertical="center" indent="2"/>
    </xf>
    <xf numFmtId="0" fontId="23" fillId="0" borderId="6" xfId="1" applyFont="1" applyBorder="1" applyAlignment="1">
      <alignment horizontal="left" vertical="center" indent="1"/>
    </xf>
    <xf numFmtId="0" fontId="25" fillId="0" borderId="7" xfId="1" applyFont="1" applyBorder="1" applyAlignment="1">
      <alignment vertical="center"/>
    </xf>
    <xf numFmtId="0" fontId="25" fillId="0" borderId="8" xfId="1" applyFont="1" applyBorder="1" applyAlignment="1">
      <alignment vertical="center"/>
    </xf>
    <xf numFmtId="0" fontId="23" fillId="0" borderId="0" xfId="1" applyFont="1" applyAlignment="1">
      <alignment horizontal="left" vertical="center" indent="1"/>
    </xf>
    <xf numFmtId="0" fontId="29" fillId="0" borderId="0" xfId="4" applyFont="1" applyAlignment="1">
      <alignment horizontal="left" vertical="center"/>
    </xf>
    <xf numFmtId="0" fontId="29" fillId="0" borderId="0" xfId="1" applyFont="1"/>
    <xf numFmtId="0" fontId="23" fillId="0" borderId="0" xfId="5" applyFont="1"/>
    <xf numFmtId="0" fontId="25" fillId="0" borderId="0" xfId="5" applyFont="1"/>
    <xf numFmtId="0" fontId="25" fillId="0" borderId="0" xfId="0" applyFont="1"/>
    <xf numFmtId="0" fontId="23" fillId="0" borderId="9" xfId="4" applyFont="1" applyBorder="1" applyAlignment="1">
      <alignment horizontal="left" vertical="center" indent="2"/>
    </xf>
    <xf numFmtId="0" fontId="25" fillId="0" borderId="2" xfId="4" applyFont="1" applyBorder="1" applyAlignment="1">
      <alignment horizontal="left" vertical="center"/>
    </xf>
    <xf numFmtId="0" fontId="25" fillId="0" borderId="3" xfId="4" applyFont="1" applyBorder="1" applyAlignment="1">
      <alignment horizontal="left" vertical="center"/>
    </xf>
    <xf numFmtId="0" fontId="26" fillId="0" borderId="4" xfId="4" applyFont="1" applyBorder="1" applyAlignment="1">
      <alignment horizontal="left" vertical="center" indent="3"/>
    </xf>
    <xf numFmtId="0" fontId="29" fillId="0" borderId="5" xfId="4" applyFont="1" applyBorder="1" applyAlignment="1">
      <alignment horizontal="left" vertical="center"/>
    </xf>
    <xf numFmtId="0" fontId="29" fillId="0" borderId="4" xfId="4" applyFont="1" applyBorder="1" applyAlignment="1">
      <alignment horizontal="left" vertical="center" indent="2"/>
    </xf>
    <xf numFmtId="0" fontId="25" fillId="0" borderId="5" xfId="4" applyFont="1" applyBorder="1" applyAlignment="1">
      <alignment horizontal="left" vertical="center"/>
    </xf>
    <xf numFmtId="0" fontId="23" fillId="0" borderId="6" xfId="4" applyFont="1" applyBorder="1" applyAlignment="1">
      <alignment horizontal="left" vertical="center" indent="2"/>
    </xf>
    <xf numFmtId="0" fontId="27" fillId="0" borderId="7" xfId="4" applyFont="1" applyBorder="1" applyAlignment="1">
      <alignment horizontal="left" vertical="center"/>
    </xf>
    <xf numFmtId="0" fontId="29" fillId="0" borderId="8" xfId="4" applyFont="1" applyBorder="1" applyAlignment="1">
      <alignment horizontal="left" vertical="center"/>
    </xf>
    <xf numFmtId="0" fontId="25" fillId="0" borderId="9" xfId="5" applyFont="1" applyBorder="1" applyAlignment="1">
      <alignment horizontal="left" vertical="center" indent="1"/>
    </xf>
    <xf numFmtId="0" fontId="25" fillId="0" borderId="2" xfId="5" applyFont="1" applyBorder="1"/>
    <xf numFmtId="0" fontId="25" fillId="0" borderId="3" xfId="5" applyFont="1" applyBorder="1"/>
    <xf numFmtId="0" fontId="25" fillId="0" borderId="4" xfId="5" applyFont="1" applyBorder="1" applyAlignment="1">
      <alignment horizontal="left" vertical="center" indent="2"/>
    </xf>
    <xf numFmtId="0" fontId="25" fillId="0" borderId="5" xfId="5" applyFont="1" applyBorder="1"/>
    <xf numFmtId="0" fontId="25" fillId="0" borderId="4" xfId="5" applyFont="1" applyBorder="1" applyAlignment="1">
      <alignment vertical="center"/>
    </xf>
    <xf numFmtId="0" fontId="24" fillId="0" borderId="4" xfId="5" applyFont="1" applyBorder="1" applyAlignment="1">
      <alignment horizontal="left" vertical="center" indent="2"/>
    </xf>
    <xf numFmtId="0" fontId="23" fillId="0" borderId="6" xfId="5" applyFont="1" applyBorder="1" applyAlignment="1">
      <alignment horizontal="left" vertical="center" indent="2"/>
    </xf>
    <xf numFmtId="0" fontId="25" fillId="0" borderId="7" xfId="5" applyFont="1" applyBorder="1"/>
    <xf numFmtId="0" fontId="25" fillId="0" borderId="8" xfId="5" applyFont="1" applyBorder="1"/>
    <xf numFmtId="0" fontId="17" fillId="0" borderId="0" xfId="0" applyFont="1"/>
    <xf numFmtId="0" fontId="18" fillId="5" borderId="1" xfId="0" applyFont="1" applyFill="1" applyBorder="1"/>
    <xf numFmtId="0" fontId="17" fillId="0" borderId="1" xfId="0" applyFont="1" applyBorder="1"/>
    <xf numFmtId="0" fontId="17" fillId="2" borderId="1" xfId="0" applyFont="1" applyFill="1" applyBorder="1"/>
    <xf numFmtId="2" fontId="17" fillId="4" borderId="1" xfId="0" applyNumberFormat="1" applyFont="1" applyFill="1" applyBorder="1"/>
    <xf numFmtId="0" fontId="10" fillId="0" borderId="0" xfId="0" applyFont="1" applyAlignment="1">
      <alignment horizontal="left" indent="2"/>
    </xf>
    <xf numFmtId="0" fontId="30" fillId="0" borderId="0" xfId="4" applyFont="1" applyAlignment="1">
      <alignment horizontal="left" vertical="center" indent="2"/>
    </xf>
    <xf numFmtId="0" fontId="1" fillId="0" borderId="0" xfId="4" applyFont="1"/>
    <xf numFmtId="0" fontId="1" fillId="0" borderId="0" xfId="4" applyFont="1" applyAlignment="1">
      <alignment vertical="center"/>
    </xf>
    <xf numFmtId="2" fontId="3" fillId="4" borderId="1" xfId="0" applyNumberFormat="1" applyFont="1" applyFill="1" applyBorder="1"/>
    <xf numFmtId="0" fontId="3" fillId="4" borderId="1" xfId="0" applyFont="1" applyFill="1" applyBorder="1"/>
    <xf numFmtId="0" fontId="3" fillId="3" borderId="4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8" fillId="0" borderId="7" xfId="3" applyFont="1" applyBorder="1" applyAlignment="1">
      <alignment horizontal="left" wrapText="1"/>
    </xf>
    <xf numFmtId="0" fontId="25" fillId="0" borderId="0" xfId="5" applyFont="1" applyAlignment="1">
      <alignment wrapText="1"/>
    </xf>
  </cellXfs>
  <cellStyles count="6">
    <cellStyle name="Normaallaad" xfId="0" builtinId="0"/>
    <cellStyle name="Normal_Harjutus_2_1_2" xfId="1" xr:uid="{00000000-0005-0000-0000-000001000000}"/>
    <cellStyle name="Normal_Harjutus_2_2" xfId="2" xr:uid="{00000000-0005-0000-0000-000002000000}"/>
    <cellStyle name="Normal_harjutus8" xfId="3" xr:uid="{00000000-0005-0000-0000-000003000000}"/>
    <cellStyle name="Normal_Loeng_8_4" xfId="4" xr:uid="{00000000-0005-0000-0000-000004000000}"/>
    <cellStyle name="Normal_LOENG81" xfId="5" xr:uid="{00000000-0005-0000-0000-000005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CC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ECFF"/>
      <rgbColor rgb="00CCFFCC"/>
      <rgbColor rgb="00FFFFCC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Detail!$F$18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Detail!$F$19:$F$26</c:f>
              <c:numCache>
                <c:formatCode>0.00</c:formatCode>
                <c:ptCount val="8"/>
                <c:pt idx="0">
                  <c:v>82.827625302982199</c:v>
                </c:pt>
                <c:pt idx="1">
                  <c:v>110.21590126111789</c:v>
                </c:pt>
                <c:pt idx="2">
                  <c:v>244</c:v>
                </c:pt>
                <c:pt idx="3">
                  <c:v>138.690470119715</c:v>
                </c:pt>
                <c:pt idx="4">
                  <c:v>146.46221994724903</c:v>
                </c:pt>
                <c:pt idx="5">
                  <c:v>240</c:v>
                </c:pt>
                <c:pt idx="6">
                  <c:v>119.78235124467012</c:v>
                </c:pt>
                <c:pt idx="7">
                  <c:v>121.03786792439622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A9-450C-8869-9677742B0733}"/>
            </c:ext>
          </c:extLst>
        </c:ser>
        <c:ser>
          <c:idx val="1"/>
          <c:order val="1"/>
          <c:tx>
            <c:strRef>
              <c:f>Detail!$G$18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Detail!$G$19:$G$26</c:f>
              <c:numCache>
                <c:formatCode>0.00</c:formatCode>
                <c:ptCount val="8"/>
                <c:pt idx="0">
                  <c:v>30</c:v>
                </c:pt>
                <c:pt idx="1">
                  <c:v>54</c:v>
                </c:pt>
                <c:pt idx="2">
                  <c:v>210</c:v>
                </c:pt>
                <c:pt idx="3">
                  <c:v>46</c:v>
                </c:pt>
                <c:pt idx="4">
                  <c:v>105</c:v>
                </c:pt>
                <c:pt idx="5">
                  <c:v>144</c:v>
                </c:pt>
                <c:pt idx="6">
                  <c:v>45</c:v>
                </c:pt>
                <c:pt idx="7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A9-450C-8869-9677742B0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64219167"/>
        <c:axId val="625692767"/>
      </c:barChart>
      <c:catAx>
        <c:axId val="564219167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625692767"/>
        <c:crosses val="autoZero"/>
        <c:auto val="1"/>
        <c:lblAlgn val="ctr"/>
        <c:lblOffset val="100"/>
        <c:noMultiLvlLbl val="0"/>
      </c:catAx>
      <c:valAx>
        <c:axId val="625692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564219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Funktsioon!$C$10</c:f>
              <c:strCache>
                <c:ptCount val="1"/>
                <c:pt idx="0">
                  <c:v>F2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Funktsioon!$C$11:$C$51</c:f>
              <c:numCache>
                <c:formatCode>0.00</c:formatCode>
                <c:ptCount val="41"/>
                <c:pt idx="0">
                  <c:v>-64</c:v>
                </c:pt>
                <c:pt idx="1">
                  <c:v>-42.875</c:v>
                </c:pt>
                <c:pt idx="2">
                  <c:v>-27</c:v>
                </c:pt>
                <c:pt idx="3">
                  <c:v>-15.625</c:v>
                </c:pt>
                <c:pt idx="4">
                  <c:v>-8</c:v>
                </c:pt>
                <c:pt idx="5">
                  <c:v>-3.375</c:v>
                </c:pt>
                <c:pt idx="6">
                  <c:v>-1</c:v>
                </c:pt>
                <c:pt idx="7">
                  <c:v>-0.125</c:v>
                </c:pt>
                <c:pt idx="8">
                  <c:v>0</c:v>
                </c:pt>
                <c:pt idx="9">
                  <c:v>0.125</c:v>
                </c:pt>
                <c:pt idx="10">
                  <c:v>0</c:v>
                </c:pt>
                <c:pt idx="11">
                  <c:v>0.40546510810816438</c:v>
                </c:pt>
                <c:pt idx="12">
                  <c:v>0.69314718055994529</c:v>
                </c:pt>
                <c:pt idx="13">
                  <c:v>0.91629073187415511</c:v>
                </c:pt>
                <c:pt idx="14">
                  <c:v>1.0986122886681098</c:v>
                </c:pt>
                <c:pt idx="15">
                  <c:v>1.2527629684953681</c:v>
                </c:pt>
                <c:pt idx="16">
                  <c:v>1.3862943611198906</c:v>
                </c:pt>
                <c:pt idx="17">
                  <c:v>1.5040773967762742</c:v>
                </c:pt>
                <c:pt idx="18">
                  <c:v>1.6094379124341003</c:v>
                </c:pt>
                <c:pt idx="19">
                  <c:v>1.7047480922384253</c:v>
                </c:pt>
                <c:pt idx="20">
                  <c:v>1.791759469228055</c:v>
                </c:pt>
                <c:pt idx="21">
                  <c:v>1.8718021769015913</c:v>
                </c:pt>
                <c:pt idx="22">
                  <c:v>1.9459101490553132</c:v>
                </c:pt>
                <c:pt idx="23">
                  <c:v>2.0149030205422647</c:v>
                </c:pt>
                <c:pt idx="24">
                  <c:v>2.0794415416798357</c:v>
                </c:pt>
                <c:pt idx="25">
                  <c:v>2.1400661634962708</c:v>
                </c:pt>
                <c:pt idx="26">
                  <c:v>2.1972245773362196</c:v>
                </c:pt>
                <c:pt idx="27">
                  <c:v>2.2512917986064953</c:v>
                </c:pt>
                <c:pt idx="28">
                  <c:v>2.3025850929940459</c:v>
                </c:pt>
                <c:pt idx="29">
                  <c:v>2.3513752571634776</c:v>
                </c:pt>
                <c:pt idx="30">
                  <c:v>2.3978952727983707</c:v>
                </c:pt>
                <c:pt idx="31">
                  <c:v>2.4423470353692043</c:v>
                </c:pt>
                <c:pt idx="32">
                  <c:v>2.4849066497880004</c:v>
                </c:pt>
                <c:pt idx="33">
                  <c:v>2.5257286443082556</c:v>
                </c:pt>
                <c:pt idx="34">
                  <c:v>2.5649493574615367</c:v>
                </c:pt>
                <c:pt idx="35">
                  <c:v>2.6026896854443837</c:v>
                </c:pt>
                <c:pt idx="36">
                  <c:v>2.6390573296152584</c:v>
                </c:pt>
                <c:pt idx="37">
                  <c:v>2.6741486494265287</c:v>
                </c:pt>
                <c:pt idx="38">
                  <c:v>2.7080502011022101</c:v>
                </c:pt>
                <c:pt idx="39">
                  <c:v>2.7408400239252009</c:v>
                </c:pt>
                <c:pt idx="40">
                  <c:v>2.7725887222397811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16-4157-B03A-225D2D7DF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319584"/>
        <c:axId val="647311984"/>
      </c:lineChart>
      <c:lineChart>
        <c:grouping val="standard"/>
        <c:varyColors val="0"/>
        <c:ser>
          <c:idx val="0"/>
          <c:order val="0"/>
          <c:tx>
            <c:strRef>
              <c:f>Funktsioon!$B$10</c:f>
              <c:strCache>
                <c:ptCount val="1"/>
                <c:pt idx="0">
                  <c:v>F1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Funktsioon!$A$11:$A$51</c:f>
              <c:numCache>
                <c:formatCode>0.00</c:formatCode>
                <c:ptCount val="41"/>
                <c:pt idx="0">
                  <c:v>-4</c:v>
                </c:pt>
                <c:pt idx="1">
                  <c:v>-3.5</c:v>
                </c:pt>
                <c:pt idx="2">
                  <c:v>-3</c:v>
                </c:pt>
                <c:pt idx="3">
                  <c:v>-2.5</c:v>
                </c:pt>
                <c:pt idx="4">
                  <c:v>-2</c:v>
                </c:pt>
                <c:pt idx="5">
                  <c:v>-1.5</c:v>
                </c:pt>
                <c:pt idx="6">
                  <c:v>-1</c:v>
                </c:pt>
                <c:pt idx="7">
                  <c:v>-0.5</c:v>
                </c:pt>
                <c:pt idx="8">
                  <c:v>0</c:v>
                </c:pt>
                <c:pt idx="9">
                  <c:v>0.5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7.5</c:v>
                </c:pt>
                <c:pt idx="24">
                  <c:v>8</c:v>
                </c:pt>
                <c:pt idx="25">
                  <c:v>8.5</c:v>
                </c:pt>
                <c:pt idx="26">
                  <c:v>9</c:v>
                </c:pt>
                <c:pt idx="27">
                  <c:v>9.5</c:v>
                </c:pt>
                <c:pt idx="28">
                  <c:v>10</c:v>
                </c:pt>
                <c:pt idx="29">
                  <c:v>10.5</c:v>
                </c:pt>
                <c:pt idx="30">
                  <c:v>11</c:v>
                </c:pt>
                <c:pt idx="31">
                  <c:v>11.5</c:v>
                </c:pt>
                <c:pt idx="32">
                  <c:v>12</c:v>
                </c:pt>
                <c:pt idx="33">
                  <c:v>12.5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</c:numCache>
            </c:numRef>
          </c:cat>
          <c:val>
            <c:numRef>
              <c:f>Funktsioon!$B$11:$B$51</c:f>
              <c:numCache>
                <c:formatCode>General</c:formatCode>
                <c:ptCount val="41"/>
                <c:pt idx="0">
                  <c:v>0.11</c:v>
                </c:pt>
                <c:pt idx="1">
                  <c:v>0.02</c:v>
                </c:pt>
                <c:pt idx="2">
                  <c:v>0</c:v>
                </c:pt>
                <c:pt idx="3">
                  <c:v>7.0000000000000007E-2</c:v>
                </c:pt>
                <c:pt idx="4">
                  <c:v>0.17</c:v>
                </c:pt>
                <c:pt idx="5">
                  <c:v>0.2</c:v>
                </c:pt>
                <c:pt idx="6">
                  <c:v>0.14000000000000001</c:v>
                </c:pt>
                <c:pt idx="7">
                  <c:v>0.05</c:v>
                </c:pt>
                <c:pt idx="8">
                  <c:v>0</c:v>
                </c:pt>
                <c:pt idx="9">
                  <c:v>0.05</c:v>
                </c:pt>
                <c:pt idx="10">
                  <c:v>0.14000000000000001</c:v>
                </c:pt>
                <c:pt idx="11">
                  <c:v>0.2</c:v>
                </c:pt>
                <c:pt idx="12">
                  <c:v>0.17</c:v>
                </c:pt>
                <c:pt idx="13">
                  <c:v>7.0000000000000007E-2</c:v>
                </c:pt>
                <c:pt idx="14">
                  <c:v>0</c:v>
                </c:pt>
                <c:pt idx="15">
                  <c:v>0.02</c:v>
                </c:pt>
                <c:pt idx="16">
                  <c:v>0.11</c:v>
                </c:pt>
                <c:pt idx="17">
                  <c:v>0.19</c:v>
                </c:pt>
                <c:pt idx="18">
                  <c:v>0.18</c:v>
                </c:pt>
                <c:pt idx="19">
                  <c:v>0.1</c:v>
                </c:pt>
                <c:pt idx="20">
                  <c:v>0.02</c:v>
                </c:pt>
                <c:pt idx="21">
                  <c:v>0.01</c:v>
                </c:pt>
                <c:pt idx="22">
                  <c:v>0.09</c:v>
                </c:pt>
                <c:pt idx="23">
                  <c:v>0.18</c:v>
                </c:pt>
                <c:pt idx="24">
                  <c:v>0.2</c:v>
                </c:pt>
                <c:pt idx="25">
                  <c:v>0.13</c:v>
                </c:pt>
                <c:pt idx="26">
                  <c:v>0.03</c:v>
                </c:pt>
                <c:pt idx="27">
                  <c:v>0</c:v>
                </c:pt>
                <c:pt idx="28">
                  <c:v>0.06</c:v>
                </c:pt>
                <c:pt idx="29">
                  <c:v>0.15</c:v>
                </c:pt>
                <c:pt idx="30">
                  <c:v>0.2</c:v>
                </c:pt>
                <c:pt idx="31">
                  <c:v>0.15</c:v>
                </c:pt>
                <c:pt idx="32">
                  <c:v>0.06</c:v>
                </c:pt>
                <c:pt idx="33">
                  <c:v>0</c:v>
                </c:pt>
                <c:pt idx="34">
                  <c:v>0.04</c:v>
                </c:pt>
                <c:pt idx="35">
                  <c:v>0.13</c:v>
                </c:pt>
                <c:pt idx="36">
                  <c:v>0.2</c:v>
                </c:pt>
                <c:pt idx="37">
                  <c:v>0.17</c:v>
                </c:pt>
                <c:pt idx="38">
                  <c:v>0.08</c:v>
                </c:pt>
                <c:pt idx="39">
                  <c:v>0.01</c:v>
                </c:pt>
                <c:pt idx="40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16-4157-B03A-225D2D7DF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522544"/>
        <c:axId val="563748272"/>
      </c:lineChart>
      <c:valAx>
        <c:axId val="64731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765319584"/>
        <c:crosses val="autoZero"/>
        <c:crossBetween val="between"/>
      </c:valAx>
      <c:catAx>
        <c:axId val="76531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647311984"/>
        <c:crosses val="autoZero"/>
        <c:auto val="1"/>
        <c:lblAlgn val="ctr"/>
        <c:lblOffset val="100"/>
        <c:noMultiLvlLbl val="0"/>
      </c:catAx>
      <c:valAx>
        <c:axId val="56374827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560522544"/>
        <c:crosses val="max"/>
        <c:crossBetween val="between"/>
      </c:valAx>
      <c:catAx>
        <c:axId val="560522544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563748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Funktsioon!$C$10</c:f>
              <c:strCache>
                <c:ptCount val="1"/>
                <c:pt idx="0">
                  <c:v>F2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Funktsioon!$C$11:$C$51</c:f>
              <c:numCache>
                <c:formatCode>0.00</c:formatCode>
                <c:ptCount val="41"/>
                <c:pt idx="0">
                  <c:v>-64</c:v>
                </c:pt>
                <c:pt idx="1">
                  <c:v>-42.875</c:v>
                </c:pt>
                <c:pt idx="2">
                  <c:v>-27</c:v>
                </c:pt>
                <c:pt idx="3">
                  <c:v>-15.625</c:v>
                </c:pt>
                <c:pt idx="4">
                  <c:v>-8</c:v>
                </c:pt>
                <c:pt idx="5">
                  <c:v>-3.375</c:v>
                </c:pt>
                <c:pt idx="6">
                  <c:v>-1</c:v>
                </c:pt>
                <c:pt idx="7">
                  <c:v>-0.125</c:v>
                </c:pt>
                <c:pt idx="8">
                  <c:v>0</c:v>
                </c:pt>
                <c:pt idx="9">
                  <c:v>0.125</c:v>
                </c:pt>
                <c:pt idx="10">
                  <c:v>0</c:v>
                </c:pt>
                <c:pt idx="11">
                  <c:v>0.40546510810816438</c:v>
                </c:pt>
                <c:pt idx="12">
                  <c:v>0.69314718055994529</c:v>
                </c:pt>
                <c:pt idx="13">
                  <c:v>0.91629073187415511</c:v>
                </c:pt>
                <c:pt idx="14">
                  <c:v>1.0986122886681098</c:v>
                </c:pt>
                <c:pt idx="15">
                  <c:v>1.2527629684953681</c:v>
                </c:pt>
                <c:pt idx="16">
                  <c:v>1.3862943611198906</c:v>
                </c:pt>
                <c:pt idx="17">
                  <c:v>1.5040773967762742</c:v>
                </c:pt>
                <c:pt idx="18">
                  <c:v>1.6094379124341003</c:v>
                </c:pt>
                <c:pt idx="19">
                  <c:v>1.7047480922384253</c:v>
                </c:pt>
                <c:pt idx="20">
                  <c:v>1.791759469228055</c:v>
                </c:pt>
                <c:pt idx="21">
                  <c:v>1.8718021769015913</c:v>
                </c:pt>
                <c:pt idx="22">
                  <c:v>1.9459101490553132</c:v>
                </c:pt>
                <c:pt idx="23">
                  <c:v>2.0149030205422647</c:v>
                </c:pt>
                <c:pt idx="24">
                  <c:v>2.0794415416798357</c:v>
                </c:pt>
                <c:pt idx="25">
                  <c:v>2.1400661634962708</c:v>
                </c:pt>
                <c:pt idx="26">
                  <c:v>2.1972245773362196</c:v>
                </c:pt>
                <c:pt idx="27">
                  <c:v>2.2512917986064953</c:v>
                </c:pt>
                <c:pt idx="28">
                  <c:v>2.3025850929940459</c:v>
                </c:pt>
                <c:pt idx="29">
                  <c:v>2.3513752571634776</c:v>
                </c:pt>
                <c:pt idx="30">
                  <c:v>2.3978952727983707</c:v>
                </c:pt>
                <c:pt idx="31">
                  <c:v>2.4423470353692043</c:v>
                </c:pt>
                <c:pt idx="32">
                  <c:v>2.4849066497880004</c:v>
                </c:pt>
                <c:pt idx="33">
                  <c:v>2.5257286443082556</c:v>
                </c:pt>
                <c:pt idx="34">
                  <c:v>2.5649493574615367</c:v>
                </c:pt>
                <c:pt idx="35">
                  <c:v>2.6026896854443837</c:v>
                </c:pt>
                <c:pt idx="36">
                  <c:v>2.6390573296152584</c:v>
                </c:pt>
                <c:pt idx="37">
                  <c:v>2.6741486494265287</c:v>
                </c:pt>
                <c:pt idx="38">
                  <c:v>2.7080502011022101</c:v>
                </c:pt>
                <c:pt idx="39">
                  <c:v>2.7408400239252009</c:v>
                </c:pt>
                <c:pt idx="40">
                  <c:v>2.7725887222397811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25-4A43-ABEC-9A1BE5C5D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5128159"/>
        <c:axId val="795898191"/>
      </c:lineChart>
      <c:lineChart>
        <c:grouping val="standard"/>
        <c:varyColors val="0"/>
        <c:ser>
          <c:idx val="0"/>
          <c:order val="0"/>
          <c:tx>
            <c:strRef>
              <c:f>Funktsioon!$B$10</c:f>
              <c:strCache>
                <c:ptCount val="1"/>
                <c:pt idx="0">
                  <c:v>F1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Funktsioon!$B$11:$B$51</c:f>
              <c:numCache>
                <c:formatCode>General</c:formatCode>
                <c:ptCount val="41"/>
                <c:pt idx="0">
                  <c:v>0.11</c:v>
                </c:pt>
                <c:pt idx="1">
                  <c:v>0.02</c:v>
                </c:pt>
                <c:pt idx="2">
                  <c:v>0</c:v>
                </c:pt>
                <c:pt idx="3">
                  <c:v>7.0000000000000007E-2</c:v>
                </c:pt>
                <c:pt idx="4">
                  <c:v>0.17</c:v>
                </c:pt>
                <c:pt idx="5">
                  <c:v>0.2</c:v>
                </c:pt>
                <c:pt idx="6">
                  <c:v>0.14000000000000001</c:v>
                </c:pt>
                <c:pt idx="7">
                  <c:v>0.05</c:v>
                </c:pt>
                <c:pt idx="8">
                  <c:v>0</c:v>
                </c:pt>
                <c:pt idx="9">
                  <c:v>0.05</c:v>
                </c:pt>
                <c:pt idx="10">
                  <c:v>0.14000000000000001</c:v>
                </c:pt>
                <c:pt idx="11">
                  <c:v>0.2</c:v>
                </c:pt>
                <c:pt idx="12">
                  <c:v>0.17</c:v>
                </c:pt>
                <c:pt idx="13">
                  <c:v>7.0000000000000007E-2</c:v>
                </c:pt>
                <c:pt idx="14">
                  <c:v>0</c:v>
                </c:pt>
                <c:pt idx="15">
                  <c:v>0.02</c:v>
                </c:pt>
                <c:pt idx="16">
                  <c:v>0.11</c:v>
                </c:pt>
                <c:pt idx="17">
                  <c:v>0.19</c:v>
                </c:pt>
                <c:pt idx="18">
                  <c:v>0.18</c:v>
                </c:pt>
                <c:pt idx="19">
                  <c:v>0.1</c:v>
                </c:pt>
                <c:pt idx="20">
                  <c:v>0.02</c:v>
                </c:pt>
                <c:pt idx="21">
                  <c:v>0.01</c:v>
                </c:pt>
                <c:pt idx="22">
                  <c:v>0.09</c:v>
                </c:pt>
                <c:pt idx="23">
                  <c:v>0.18</c:v>
                </c:pt>
                <c:pt idx="24">
                  <c:v>0.2</c:v>
                </c:pt>
                <c:pt idx="25">
                  <c:v>0.13</c:v>
                </c:pt>
                <c:pt idx="26">
                  <c:v>0.03</c:v>
                </c:pt>
                <c:pt idx="27">
                  <c:v>0</c:v>
                </c:pt>
                <c:pt idx="28">
                  <c:v>0.06</c:v>
                </c:pt>
                <c:pt idx="29">
                  <c:v>0.15</c:v>
                </c:pt>
                <c:pt idx="30">
                  <c:v>0.2</c:v>
                </c:pt>
                <c:pt idx="31">
                  <c:v>0.15</c:v>
                </c:pt>
                <c:pt idx="32">
                  <c:v>0.06</c:v>
                </c:pt>
                <c:pt idx="33">
                  <c:v>0</c:v>
                </c:pt>
                <c:pt idx="34">
                  <c:v>0.04</c:v>
                </c:pt>
                <c:pt idx="35">
                  <c:v>0.13</c:v>
                </c:pt>
                <c:pt idx="36">
                  <c:v>0.2</c:v>
                </c:pt>
                <c:pt idx="37">
                  <c:v>0.17</c:v>
                </c:pt>
                <c:pt idx="38">
                  <c:v>0.08</c:v>
                </c:pt>
                <c:pt idx="39">
                  <c:v>0.01</c:v>
                </c:pt>
                <c:pt idx="40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25-4A43-ABEC-9A1BE5C5D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795919"/>
        <c:axId val="795898607"/>
      </c:lineChart>
      <c:catAx>
        <c:axId val="7951281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795898191"/>
        <c:crosses val="autoZero"/>
        <c:auto val="1"/>
        <c:lblAlgn val="ctr"/>
        <c:lblOffset val="100"/>
        <c:noMultiLvlLbl val="0"/>
      </c:catAx>
      <c:valAx>
        <c:axId val="79589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795128159"/>
        <c:crosses val="autoZero"/>
        <c:crossBetween val="between"/>
      </c:valAx>
      <c:valAx>
        <c:axId val="795898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704795919"/>
        <c:crosses val="max"/>
        <c:crossBetween val="between"/>
      </c:valAx>
      <c:catAx>
        <c:axId val="704795919"/>
        <c:scaling>
          <c:orientation val="minMax"/>
        </c:scaling>
        <c:delete val="1"/>
        <c:axPos val="b"/>
        <c:majorTickMark val="out"/>
        <c:minorTickMark val="none"/>
        <c:tickLblPos val="nextTo"/>
        <c:crossAx val="79589860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139-4CBC-AA3F-9215A995A1B0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139-4CBC-AA3F-9215A995A1B0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139-4CBC-AA3F-9215A995A1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t-E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Kaal!$C$24:$C$26</c:f>
              <c:strCache>
                <c:ptCount val="3"/>
                <c:pt idx="0">
                  <c:v>normaalne</c:v>
                </c:pt>
                <c:pt idx="1">
                  <c:v>alakaaluline</c:v>
                </c:pt>
                <c:pt idx="2">
                  <c:v>ülekaaluline</c:v>
                </c:pt>
              </c:strCache>
            </c:strRef>
          </c:cat>
          <c:val>
            <c:numRef>
              <c:f>Kaal!$D$24:$D$26</c:f>
              <c:numCache>
                <c:formatCode>General</c:formatCode>
                <c:ptCount val="3"/>
                <c:pt idx="0">
                  <c:v>9</c:v>
                </c:pt>
                <c:pt idx="1">
                  <c:v>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5-4CC3-B2A3-674CFDB9584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BB0-4185-A8F8-302CA478C24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BB0-4185-A8F8-302CA478C24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BB0-4185-A8F8-302CA478C24A}"/>
              </c:ext>
            </c:extLst>
          </c:dPt>
          <c:cat>
            <c:strRef>
              <c:f>Kaal!$C$24:$C$26</c:f>
              <c:strCache>
                <c:ptCount val="3"/>
                <c:pt idx="0">
                  <c:v>normaalne</c:v>
                </c:pt>
                <c:pt idx="1">
                  <c:v>alakaaluline</c:v>
                </c:pt>
                <c:pt idx="2">
                  <c:v>ülekaaluline</c:v>
                </c:pt>
              </c:strCache>
            </c:strRef>
          </c:cat>
          <c:val>
            <c:numRef>
              <c:f>Kaal!$D$24:$D$26</c:f>
              <c:numCache>
                <c:formatCode>General</c:formatCode>
                <c:ptCount val="3"/>
                <c:pt idx="0">
                  <c:v>9</c:v>
                </c:pt>
                <c:pt idx="1">
                  <c:v>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A8-41D1-A24B-A36E7F161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C8-434A-9B2E-8CC4BFA4E43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EC8-434A-9B2E-8CC4BFA4E43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EC8-434A-9B2E-8CC4BFA4E430}"/>
              </c:ext>
            </c:extLst>
          </c:dPt>
          <c:cat>
            <c:strRef>
              <c:f>Kaal!$C$24:$C$26</c:f>
              <c:strCache>
                <c:ptCount val="3"/>
                <c:pt idx="0">
                  <c:v>normaalne</c:v>
                </c:pt>
                <c:pt idx="1">
                  <c:v>alakaaluline</c:v>
                </c:pt>
                <c:pt idx="2">
                  <c:v>ülekaaluline</c:v>
                </c:pt>
              </c:strCache>
            </c:strRef>
          </c:cat>
          <c:val>
            <c:numRef>
              <c:f>Kaal!$D$24:$D$26</c:f>
              <c:numCache>
                <c:formatCode>General</c:formatCode>
                <c:ptCount val="3"/>
                <c:pt idx="0">
                  <c:v>9</c:v>
                </c:pt>
                <c:pt idx="1">
                  <c:v>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78-4576-A3F3-65E2F6409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0EE-4652-84BA-3E653A1404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0EE-4652-84BA-3E653A1404E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0EE-4652-84BA-3E653A1404E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t-E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Kaal!$C$24:$C$26</c:f>
              <c:strCache>
                <c:ptCount val="3"/>
                <c:pt idx="0">
                  <c:v>normaalne</c:v>
                </c:pt>
                <c:pt idx="1">
                  <c:v>alakaaluline</c:v>
                </c:pt>
                <c:pt idx="2">
                  <c:v>ülekaaluline</c:v>
                </c:pt>
              </c:strCache>
            </c:strRef>
          </c:cat>
          <c:val>
            <c:numRef>
              <c:f>Kaal!$D$24:$D$26</c:f>
              <c:numCache>
                <c:formatCode>General</c:formatCode>
                <c:ptCount val="3"/>
                <c:pt idx="0">
                  <c:v>9</c:v>
                </c:pt>
                <c:pt idx="1">
                  <c:v>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1C-4D35-A0BE-DBAFDA67C4F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9B2-4906-92A7-5EB3345F8C4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9B2-4906-92A7-5EB3345F8C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9B2-4906-92A7-5EB3345F8C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t-E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Kaal!$C$24:$C$26</c:f>
              <c:strCache>
                <c:ptCount val="3"/>
                <c:pt idx="0">
                  <c:v>normaalne</c:v>
                </c:pt>
                <c:pt idx="1">
                  <c:v>alakaaluline</c:v>
                </c:pt>
                <c:pt idx="2">
                  <c:v>ülekaaluline</c:v>
                </c:pt>
              </c:strCache>
            </c:strRef>
          </c:cat>
          <c:val>
            <c:numRef>
              <c:f>Kaal!$D$24:$D$26</c:f>
              <c:numCache>
                <c:formatCode>General</c:formatCode>
                <c:ptCount val="3"/>
                <c:pt idx="0">
                  <c:v>9</c:v>
                </c:pt>
                <c:pt idx="1">
                  <c:v>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F8-43FF-9768-5F099547775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Hinded!$E$8</c:f>
              <c:strCache>
                <c:ptCount val="1"/>
                <c:pt idx="0">
                  <c:v>Punktid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Hinded!$D$9:$D$15</c:f>
              <c:strCache>
                <c:ptCount val="7"/>
                <c:pt idx="0">
                  <c:v>Mari</c:v>
                </c:pt>
                <c:pt idx="1">
                  <c:v>Jüri</c:v>
                </c:pt>
                <c:pt idx="2">
                  <c:v>Ants</c:v>
                </c:pt>
                <c:pt idx="3">
                  <c:v>Anne</c:v>
                </c:pt>
                <c:pt idx="4">
                  <c:v>Merike</c:v>
                </c:pt>
                <c:pt idx="5">
                  <c:v>Juhan</c:v>
                </c:pt>
                <c:pt idx="6">
                  <c:v>Sven</c:v>
                </c:pt>
              </c:strCache>
            </c:strRef>
          </c:cat>
          <c:val>
            <c:numRef>
              <c:f>Hinded!$E$9:$E$15</c:f>
              <c:numCache>
                <c:formatCode>General</c:formatCode>
                <c:ptCount val="7"/>
                <c:pt idx="0">
                  <c:v>23</c:v>
                </c:pt>
                <c:pt idx="1">
                  <c:v>56</c:v>
                </c:pt>
                <c:pt idx="2">
                  <c:v>89</c:v>
                </c:pt>
                <c:pt idx="3">
                  <c:v>91</c:v>
                </c:pt>
                <c:pt idx="4">
                  <c:v>78</c:v>
                </c:pt>
                <c:pt idx="5">
                  <c:v>67</c:v>
                </c:pt>
                <c:pt idx="6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28-44FE-9FC5-0EB541FE9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1522480"/>
        <c:axId val="574705008"/>
      </c:barChart>
      <c:catAx>
        <c:axId val="64152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574705008"/>
        <c:crosses val="autoZero"/>
        <c:auto val="1"/>
        <c:lblAlgn val="ctr"/>
        <c:lblOffset val="100"/>
        <c:noMultiLvlLbl val="0"/>
      </c:catAx>
      <c:valAx>
        <c:axId val="57470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64152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Hinded!$E$8</c:f>
              <c:strCache>
                <c:ptCount val="1"/>
                <c:pt idx="0">
                  <c:v>Punktid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ED84-4943-BDAD-D8A20339CA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ED84-4943-BDAD-D8A20339CA8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ED84-4943-BDAD-D8A20339CA8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4-ED84-4943-BDAD-D8A20339CA8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ED84-4943-BDAD-D8A20339CA8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6-ED84-4943-BDAD-D8A20339CA8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ED84-4943-BDAD-D8A20339CA8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ED84-4943-BDAD-D8A20339CA8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ED84-4943-BDAD-D8A20339CA80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ED84-4943-BDAD-D8A20339CA80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ED84-4943-BDAD-D8A20339CA80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ED84-4943-BDAD-D8A20339CA80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ED84-4943-BDAD-D8A20339CA80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ED84-4943-BDAD-D8A20339CA8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Hinded!$D$9:$E$15</c:f>
              <c:multiLvlStrCache>
                <c:ptCount val="7"/>
                <c:lvl>
                  <c:pt idx="0">
                    <c:v>23</c:v>
                  </c:pt>
                  <c:pt idx="1">
                    <c:v>56</c:v>
                  </c:pt>
                  <c:pt idx="2">
                    <c:v>89</c:v>
                  </c:pt>
                  <c:pt idx="3">
                    <c:v>91</c:v>
                  </c:pt>
                  <c:pt idx="4">
                    <c:v>78</c:v>
                  </c:pt>
                  <c:pt idx="5">
                    <c:v>67</c:v>
                  </c:pt>
                  <c:pt idx="6">
                    <c:v>75</c:v>
                  </c:pt>
                </c:lvl>
                <c:lvl>
                  <c:pt idx="0">
                    <c:v>Mari</c:v>
                  </c:pt>
                  <c:pt idx="1">
                    <c:v>Jüri</c:v>
                  </c:pt>
                  <c:pt idx="2">
                    <c:v>Ants</c:v>
                  </c:pt>
                  <c:pt idx="3">
                    <c:v>Anne</c:v>
                  </c:pt>
                  <c:pt idx="4">
                    <c:v>Merike</c:v>
                  </c:pt>
                  <c:pt idx="5">
                    <c:v>Juhan</c:v>
                  </c:pt>
                  <c:pt idx="6">
                    <c:v>Sven</c:v>
                  </c:pt>
                </c:lvl>
              </c:multiLvlStrCache>
            </c:multiLvlStrRef>
          </c:cat>
          <c:val>
            <c:numRef>
              <c:f>Hinded!$E$9:$E$15</c:f>
              <c:numCache>
                <c:formatCode>General</c:formatCode>
                <c:ptCount val="7"/>
                <c:pt idx="0">
                  <c:v>23</c:v>
                </c:pt>
                <c:pt idx="1">
                  <c:v>56</c:v>
                </c:pt>
                <c:pt idx="2">
                  <c:v>89</c:v>
                </c:pt>
                <c:pt idx="3">
                  <c:v>91</c:v>
                </c:pt>
                <c:pt idx="4">
                  <c:v>78</c:v>
                </c:pt>
                <c:pt idx="5">
                  <c:v>67</c:v>
                </c:pt>
                <c:pt idx="6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84-4943-BDAD-D8A20339CA80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Hinded!$E$8</c:f>
              <c:strCache>
                <c:ptCount val="1"/>
                <c:pt idx="0">
                  <c:v>Punktid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2249-4761-A36A-9564D89517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2249-4761-A36A-9564D89517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2249-4761-A36A-9564D89517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2249-4761-A36A-9564D89517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2249-4761-A36A-9564D89517E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2249-4761-A36A-9564D89517E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2249-4761-A36A-9564D89517E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2249-4761-A36A-9564D89517E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2249-4761-A36A-9564D89517EF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2249-4761-A36A-9564D89517EF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2249-4761-A36A-9564D89517EF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2249-4761-A36A-9564D89517EF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2249-4761-A36A-9564D89517EF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2249-4761-A36A-9564D89517E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Hinded!$D$9:$E$15</c:f>
              <c:multiLvlStrCache>
                <c:ptCount val="7"/>
                <c:lvl>
                  <c:pt idx="0">
                    <c:v>23</c:v>
                  </c:pt>
                  <c:pt idx="1">
                    <c:v>56</c:v>
                  </c:pt>
                  <c:pt idx="2">
                    <c:v>89</c:v>
                  </c:pt>
                  <c:pt idx="3">
                    <c:v>91</c:v>
                  </c:pt>
                  <c:pt idx="4">
                    <c:v>78</c:v>
                  </c:pt>
                  <c:pt idx="5">
                    <c:v>67</c:v>
                  </c:pt>
                  <c:pt idx="6">
                    <c:v>75</c:v>
                  </c:pt>
                </c:lvl>
                <c:lvl>
                  <c:pt idx="0">
                    <c:v>Mari</c:v>
                  </c:pt>
                  <c:pt idx="1">
                    <c:v>Jüri</c:v>
                  </c:pt>
                  <c:pt idx="2">
                    <c:v>Ants</c:v>
                  </c:pt>
                  <c:pt idx="3">
                    <c:v>Anne</c:v>
                  </c:pt>
                  <c:pt idx="4">
                    <c:v>Merike</c:v>
                  </c:pt>
                  <c:pt idx="5">
                    <c:v>Juhan</c:v>
                  </c:pt>
                  <c:pt idx="6">
                    <c:v>Sven</c:v>
                  </c:pt>
                </c:lvl>
              </c:multiLvlStrCache>
            </c:multiLvlStrRef>
          </c:cat>
          <c:val>
            <c:numRef>
              <c:f>Hinded!$E$9:$E$15</c:f>
              <c:numCache>
                <c:formatCode>General</c:formatCode>
                <c:ptCount val="7"/>
                <c:pt idx="0">
                  <c:v>23</c:v>
                </c:pt>
                <c:pt idx="1">
                  <c:v>56</c:v>
                </c:pt>
                <c:pt idx="2">
                  <c:v>89</c:v>
                </c:pt>
                <c:pt idx="3">
                  <c:v>91</c:v>
                </c:pt>
                <c:pt idx="4">
                  <c:v>78</c:v>
                </c:pt>
                <c:pt idx="5">
                  <c:v>67</c:v>
                </c:pt>
                <c:pt idx="6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249-4761-A36A-9564D89517E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5.emf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7</xdr:row>
          <xdr:rowOff>114300</xdr:rowOff>
        </xdr:from>
        <xdr:to>
          <xdr:col>7</xdr:col>
          <xdr:colOff>556260</xdr:colOff>
          <xdr:row>11</xdr:row>
          <xdr:rowOff>76200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FFFF" mc:Ignorable="a14" a14:legacySpreadsheetColorIndex="2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257175</xdr:colOff>
      <xdr:row>7</xdr:row>
      <xdr:rowOff>0</xdr:rowOff>
    </xdr:from>
    <xdr:to>
      <xdr:col>3</xdr:col>
      <xdr:colOff>381000</xdr:colOff>
      <xdr:row>12</xdr:row>
      <xdr:rowOff>76200</xdr:rowOff>
    </xdr:to>
    <xdr:grpSp>
      <xdr:nvGrpSpPr>
        <xdr:cNvPr id="1026" name="Group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GrpSpPr>
          <a:grpSpLocks/>
        </xdr:cNvGrpSpPr>
      </xdr:nvGrpSpPr>
      <xdr:grpSpPr bwMode="auto">
        <a:xfrm>
          <a:off x="257175" y="1493520"/>
          <a:ext cx="1800225" cy="1181100"/>
          <a:chOff x="269" y="65"/>
          <a:chExt cx="251" cy="136"/>
        </a:xfrm>
      </xdr:grpSpPr>
      <xdr:grpSp>
        <xdr:nvGrpSpPr>
          <xdr:cNvPr id="1027" name="Group 3">
            <a:extLst>
              <a:ext uri="{FF2B5EF4-FFF2-40B4-BE49-F238E27FC236}">
                <a16:creationId xmlns:a16="http://schemas.microsoft.com/office/drawing/2014/main" id="{00000000-0008-0000-0000-000003040000}"/>
              </a:ext>
            </a:extLst>
          </xdr:cNvPr>
          <xdr:cNvGrpSpPr>
            <a:grpSpLocks/>
          </xdr:cNvGrpSpPr>
        </xdr:nvGrpSpPr>
        <xdr:grpSpPr bwMode="auto">
          <a:xfrm>
            <a:off x="294" y="65"/>
            <a:ext cx="225" cy="89"/>
            <a:chOff x="95" y="96"/>
            <a:chExt cx="362" cy="113"/>
          </a:xfrm>
        </xdr:grpSpPr>
        <xdr:sp macro="" textlink="">
          <xdr:nvSpPr>
            <xdr:cNvPr id="1028" name="AutoShape 4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5" y="133"/>
              <a:ext cx="153" cy="76"/>
            </a:xfrm>
            <a:prstGeom prst="triangle">
              <a:avLst>
                <a:gd name="adj" fmla="val 50000"/>
              </a:avLst>
            </a:prstGeom>
            <a:solidFill>
              <a:srgbClr val="FFFF99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9" name="Freeform 5">
              <a:extLs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>
              <a:spLocks/>
            </xdr:cNvSpPr>
          </xdr:nvSpPr>
          <xdr:spPr bwMode="auto">
            <a:xfrm>
              <a:off x="171" y="96"/>
              <a:ext cx="286" cy="113"/>
            </a:xfrm>
            <a:custGeom>
              <a:avLst/>
              <a:gdLst>
                <a:gd name="T0" fmla="*/ 0 w 286"/>
                <a:gd name="T1" fmla="*/ 37 h 113"/>
                <a:gd name="T2" fmla="*/ 210 w 286"/>
                <a:gd name="T3" fmla="*/ 0 h 113"/>
                <a:gd name="T4" fmla="*/ 286 w 286"/>
                <a:gd name="T5" fmla="*/ 75 h 113"/>
                <a:gd name="T6" fmla="*/ 76 w 286"/>
                <a:gd name="T7" fmla="*/ 113 h 1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86" h="113">
                  <a:moveTo>
                    <a:pt x="0" y="37"/>
                  </a:moveTo>
                  <a:lnTo>
                    <a:pt x="210" y="0"/>
                  </a:lnTo>
                  <a:lnTo>
                    <a:pt x="286" y="75"/>
                  </a:lnTo>
                  <a:lnTo>
                    <a:pt x="76" y="113"/>
                  </a:lnTo>
                </a:path>
              </a:pathLst>
            </a:custGeom>
            <a:solidFill>
              <a:srgbClr val="C0C0C0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30" name="Line 6">
            <a:extLst>
              <a:ext uri="{FF2B5EF4-FFF2-40B4-BE49-F238E27FC236}">
                <a16:creationId xmlns:a16="http://schemas.microsoft.com/office/drawing/2014/main" id="{00000000-0008-0000-0000-000006040000}"/>
              </a:ext>
            </a:extLst>
          </xdr:cNvPr>
          <xdr:cNvSpPr>
            <a:spLocks noChangeShapeType="1"/>
          </xdr:cNvSpPr>
        </xdr:nvSpPr>
        <xdr:spPr bwMode="auto">
          <a:xfrm>
            <a:off x="277" y="155"/>
            <a:ext cx="1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1" name="Line 7">
            <a:extLst>
              <a:ext uri="{FF2B5EF4-FFF2-40B4-BE49-F238E27FC236}">
                <a16:creationId xmlns:a16="http://schemas.microsoft.com/office/drawing/2014/main" id="{00000000-0008-0000-0000-000007040000}"/>
              </a:ext>
            </a:extLst>
          </xdr:cNvPr>
          <xdr:cNvSpPr>
            <a:spLocks noChangeShapeType="1"/>
          </xdr:cNvSpPr>
        </xdr:nvSpPr>
        <xdr:spPr bwMode="auto">
          <a:xfrm>
            <a:off x="275" y="95"/>
            <a:ext cx="6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2" name="Line 8">
            <a:extLst>
              <a:ext uri="{FF2B5EF4-FFF2-40B4-BE49-F238E27FC236}">
                <a16:creationId xmlns:a16="http://schemas.microsoft.com/office/drawing/2014/main" id="{00000000-0008-0000-0000-000008040000}"/>
              </a:ext>
            </a:extLst>
          </xdr:cNvPr>
          <xdr:cNvSpPr>
            <a:spLocks noChangeShapeType="1"/>
          </xdr:cNvSpPr>
        </xdr:nvSpPr>
        <xdr:spPr bwMode="auto">
          <a:xfrm>
            <a:off x="282" y="96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3" name="Line 9">
            <a:extLst>
              <a:ext uri="{FF2B5EF4-FFF2-40B4-BE49-F238E27FC236}">
                <a16:creationId xmlns:a16="http://schemas.microsoft.com/office/drawing/2014/main" id="{00000000-0008-0000-0000-000009040000}"/>
              </a:ext>
            </a:extLst>
          </xdr:cNvPr>
          <xdr:cNvSpPr>
            <a:spLocks noChangeShapeType="1"/>
          </xdr:cNvSpPr>
        </xdr:nvSpPr>
        <xdr:spPr bwMode="auto">
          <a:xfrm>
            <a:off x="388" y="155"/>
            <a:ext cx="0" cy="1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4" name="Line 10">
            <a:extLst>
              <a:ext uri="{FF2B5EF4-FFF2-40B4-BE49-F238E27FC236}">
                <a16:creationId xmlns:a16="http://schemas.microsoft.com/office/drawing/2014/main" id="{00000000-0008-0000-0000-00000A040000}"/>
              </a:ext>
            </a:extLst>
          </xdr:cNvPr>
          <xdr:cNvSpPr>
            <a:spLocks noChangeShapeType="1"/>
          </xdr:cNvSpPr>
        </xdr:nvSpPr>
        <xdr:spPr bwMode="auto">
          <a:xfrm>
            <a:off x="295" y="155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5" name="Line 11">
            <a:extLst>
              <a:ext uri="{FF2B5EF4-FFF2-40B4-BE49-F238E27FC236}">
                <a16:creationId xmlns:a16="http://schemas.microsoft.com/office/drawing/2014/main" id="{00000000-0008-0000-0000-00000B040000}"/>
              </a:ext>
            </a:extLst>
          </xdr:cNvPr>
          <xdr:cNvSpPr>
            <a:spLocks noChangeShapeType="1"/>
          </xdr:cNvSpPr>
        </xdr:nvSpPr>
        <xdr:spPr bwMode="auto">
          <a:xfrm>
            <a:off x="295" y="171"/>
            <a:ext cx="9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6" name="Line 12">
            <a:extLst>
              <a:ext uri="{FF2B5EF4-FFF2-40B4-BE49-F238E27FC236}">
                <a16:creationId xmlns:a16="http://schemas.microsoft.com/office/drawing/2014/main" id="{00000000-0008-0000-0000-00000C040000}"/>
              </a:ext>
            </a:extLst>
          </xdr:cNvPr>
          <xdr:cNvSpPr>
            <a:spLocks noChangeShapeType="1"/>
          </xdr:cNvSpPr>
        </xdr:nvSpPr>
        <xdr:spPr bwMode="auto">
          <a:xfrm>
            <a:off x="520" y="124"/>
            <a:ext cx="0" cy="2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7" name="Line 13">
            <a:extLst>
              <a:ext uri="{FF2B5EF4-FFF2-40B4-BE49-F238E27FC236}">
                <a16:creationId xmlns:a16="http://schemas.microsoft.com/office/drawing/2014/main" id="{00000000-0008-0000-0000-00000D04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88" y="139"/>
            <a:ext cx="132" cy="3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8" name="Text Box 14">
            <a:extLst>
              <a:ext uri="{FF2B5EF4-FFF2-40B4-BE49-F238E27FC236}">
                <a16:creationId xmlns:a16="http://schemas.microsoft.com/office/drawing/2014/main" id="{00000000-0008-0000-0000-00000E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69" y="115"/>
            <a:ext cx="14" cy="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</a:t>
            </a:r>
          </a:p>
        </xdr:txBody>
      </xdr:sp>
      <xdr:sp macro="" textlink="">
        <xdr:nvSpPr>
          <xdr:cNvPr id="1039" name="Text Box 15">
            <a:extLst>
              <a:ext uri="{FF2B5EF4-FFF2-40B4-BE49-F238E27FC236}">
                <a16:creationId xmlns:a16="http://schemas.microsoft.com/office/drawing/2014/main" id="{00000000-0008-0000-0000-00000F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41" y="176"/>
            <a:ext cx="14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b</a:t>
            </a:r>
          </a:p>
        </xdr:txBody>
      </xdr:sp>
      <xdr:sp macro="" textlink="">
        <xdr:nvSpPr>
          <xdr:cNvPr id="1040" name="Text Box 16">
            <a:extLst>
              <a:ext uri="{FF2B5EF4-FFF2-40B4-BE49-F238E27FC236}">
                <a16:creationId xmlns:a16="http://schemas.microsoft.com/office/drawing/2014/main" id="{00000000-0008-0000-0000-000010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6" y="157"/>
            <a:ext cx="15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L</a:t>
            </a:r>
          </a:p>
        </xdr:txBody>
      </xdr:sp>
    </xdr:grpSp>
    <xdr:clientData/>
  </xdr:twoCellAnchor>
  <xdr:twoCellAnchor>
    <xdr:from>
      <xdr:col>1</xdr:col>
      <xdr:colOff>47625</xdr:colOff>
      <xdr:row>12</xdr:row>
      <xdr:rowOff>28575</xdr:rowOff>
    </xdr:from>
    <xdr:to>
      <xdr:col>11</xdr:col>
      <xdr:colOff>295275</xdr:colOff>
      <xdr:row>14</xdr:row>
      <xdr:rowOff>161925</xdr:rowOff>
    </xdr:to>
    <xdr:sp macro="" textlink="">
      <xdr:nvSpPr>
        <xdr:cNvPr id="1056" name="Text Box 32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 txBox="1">
          <a:spLocks noChangeArrowheads="1"/>
        </xdr:cNvSpPr>
      </xdr:nvSpPr>
      <xdr:spPr bwMode="auto">
        <a:xfrm>
          <a:off x="523875" y="2714625"/>
          <a:ext cx="6953250" cy="666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10800" rIns="0" bIns="1080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Algandmed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: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b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laius,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h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– kõrgus,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L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– pikkus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Tulemid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: funktsioon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V(h, b, L)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ruumala leidmiseks, funktsioon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S(h, b, L)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täispindala leidmiseks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Vahetulemid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: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A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ristlõike pindala,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ristlõike ümbermõõt</a:t>
          </a:r>
        </a:p>
      </xdr:txBody>
    </xdr:sp>
    <xdr:clientData/>
  </xdr:twoCellAnchor>
  <xdr:twoCellAnchor>
    <xdr:from>
      <xdr:col>0</xdr:col>
      <xdr:colOff>28575</xdr:colOff>
      <xdr:row>0</xdr:row>
      <xdr:rowOff>28575</xdr:rowOff>
    </xdr:from>
    <xdr:to>
      <xdr:col>11</xdr:col>
      <xdr:colOff>9525</xdr:colOff>
      <xdr:row>5</xdr:row>
      <xdr:rowOff>142875</xdr:rowOff>
    </xdr:to>
    <xdr:sp macro="" textlink="">
      <xdr:nvSpPr>
        <xdr:cNvPr id="1064" name="Text Box 40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 txBox="1">
          <a:spLocks noChangeArrowheads="1"/>
        </xdr:cNvSpPr>
      </xdr:nvSpPr>
      <xdr:spPr bwMode="auto">
        <a:xfrm>
          <a:off x="28575" y="28575"/>
          <a:ext cx="7162800" cy="1257300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1. Koostada neli kasutajafunktsiooni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VBA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-s: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-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A(b,h) 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- ristlõike pindala;                            - 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P(b,h)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ristlõike ümbermõõt   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- 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V(h, b, L)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klotsi ruumala leidmiseks;     - 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S(h, b, L)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klotsi täispindala, 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kus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b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on klotsi laius,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h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– kõrgus,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L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– pikkus.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2. Koostada tabel klotsi erinevate mõõtmetega ja arvutada vastavad ruumalad ja täispindalad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3. Koostada diagramm vastavalt näidele</a:t>
          </a:r>
        </a:p>
      </xdr:txBody>
    </xdr:sp>
    <xdr:clientData/>
  </xdr:twoCellAnchor>
  <xdr:twoCellAnchor editAs="oneCell">
    <xdr:from>
      <xdr:col>7</xdr:col>
      <xdr:colOff>152400</xdr:colOff>
      <xdr:row>16</xdr:row>
      <xdr:rowOff>0</xdr:rowOff>
    </xdr:from>
    <xdr:to>
      <xdr:col>17</xdr:col>
      <xdr:colOff>657225</xdr:colOff>
      <xdr:row>30</xdr:row>
      <xdr:rowOff>219075</xdr:rowOff>
    </xdr:to>
    <xdr:pic>
      <xdr:nvPicPr>
        <xdr:cNvPr id="1066" name="Picture 42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3619500"/>
          <a:ext cx="8124825" cy="3076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7620</xdr:rowOff>
        </xdr:from>
        <xdr:to>
          <xdr:col>16</xdr:col>
          <xdr:colOff>251460</xdr:colOff>
          <xdr:row>7</xdr:row>
          <xdr:rowOff>76200</xdr:rowOff>
        </xdr:to>
        <xdr:sp macro="" textlink="">
          <xdr:nvSpPr>
            <xdr:cNvPr id="2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täida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83820</xdr:colOff>
          <xdr:row>8</xdr:row>
          <xdr:rowOff>160020</xdr:rowOff>
        </xdr:from>
        <xdr:to>
          <xdr:col>16</xdr:col>
          <xdr:colOff>678180</xdr:colOff>
          <xdr:row>13</xdr:row>
          <xdr:rowOff>60960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5</xdr:row>
          <xdr:rowOff>60960</xdr:rowOff>
        </xdr:from>
        <xdr:to>
          <xdr:col>20</xdr:col>
          <xdr:colOff>716280</xdr:colOff>
          <xdr:row>9</xdr:row>
          <xdr:rowOff>114300</xdr:rowOff>
        </xdr:to>
        <xdr:sp macro="" textlink="">
          <xdr:nvSpPr>
            <xdr:cNvPr id="4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Diagramm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180975</xdr:colOff>
      <xdr:row>29</xdr:row>
      <xdr:rowOff>76200</xdr:rowOff>
    </xdr:from>
    <xdr:to>
      <xdr:col>9</xdr:col>
      <xdr:colOff>371475</xdr:colOff>
      <xdr:row>41</xdr:row>
      <xdr:rowOff>76200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5</xdr:row>
          <xdr:rowOff>152400</xdr:rowOff>
        </xdr:from>
        <xdr:to>
          <xdr:col>6</xdr:col>
          <xdr:colOff>556260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Nupp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0</xdr:rowOff>
    </xdr:from>
    <xdr:to>
      <xdr:col>6</xdr:col>
      <xdr:colOff>9525</xdr:colOff>
      <xdr:row>4</xdr:row>
      <xdr:rowOff>152400</xdr:rowOff>
    </xdr:to>
    <xdr:sp macro="" textlink="">
      <xdr:nvSpPr>
        <xdr:cNvPr id="14338" name="Text Box 2">
          <a:extLst>
            <a:ext uri="{FF2B5EF4-FFF2-40B4-BE49-F238E27FC236}">
              <a16:creationId xmlns:a16="http://schemas.microsoft.com/office/drawing/2014/main" id="{00000000-0008-0000-0200-000002380000}"/>
            </a:ext>
          </a:extLst>
        </xdr:cNvPr>
        <xdr:cNvSpPr txBox="1">
          <a:spLocks noChangeArrowheads="1"/>
        </xdr:cNvSpPr>
      </xdr:nvSpPr>
      <xdr:spPr bwMode="auto">
        <a:xfrm>
          <a:off x="9525" y="161925"/>
          <a:ext cx="445770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1. Koostada kaks kasutajafunktsiooni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F1(x)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ja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F2(x)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;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2. Koostada tabel argumendi 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ja funktsioonide väärtustega;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3. Koostada graafik vastavalt näidele töölehel 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Funktsioon (näide)</a:t>
          </a:r>
        </a:p>
      </xdr:txBody>
    </xdr:sp>
    <xdr:clientData/>
  </xdr:twoCellAnchor>
  <xdr:twoCellAnchor>
    <xdr:from>
      <xdr:col>5</xdr:col>
      <xdr:colOff>347661</xdr:colOff>
      <xdr:row>8</xdr:row>
      <xdr:rowOff>95250</xdr:rowOff>
    </xdr:from>
    <xdr:to>
      <xdr:col>12</xdr:col>
      <xdr:colOff>409574</xdr:colOff>
      <xdr:row>32</xdr:row>
      <xdr:rowOff>4762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35</xdr:row>
          <xdr:rowOff>114300</xdr:rowOff>
        </xdr:from>
        <xdr:to>
          <xdr:col>8</xdr:col>
          <xdr:colOff>411480</xdr:colOff>
          <xdr:row>40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42</xdr:row>
          <xdr:rowOff>68580</xdr:rowOff>
        </xdr:from>
        <xdr:to>
          <xdr:col>8</xdr:col>
          <xdr:colOff>457200</xdr:colOff>
          <xdr:row>47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182880</xdr:colOff>
          <xdr:row>35</xdr:row>
          <xdr:rowOff>99060</xdr:rowOff>
        </xdr:from>
        <xdr:to>
          <xdr:col>13</xdr:col>
          <xdr:colOff>289560</xdr:colOff>
          <xdr:row>41</xdr:row>
          <xdr:rowOff>68580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Diagramm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409575</xdr:colOff>
      <xdr:row>22</xdr:row>
      <xdr:rowOff>114300</xdr:rowOff>
    </xdr:from>
    <xdr:to>
      <xdr:col>18</xdr:col>
      <xdr:colOff>409575</xdr:colOff>
      <xdr:row>39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95250</xdr:rowOff>
    </xdr:from>
    <xdr:to>
      <xdr:col>12</xdr:col>
      <xdr:colOff>114300</xdr:colOff>
      <xdr:row>53</xdr:row>
      <xdr:rowOff>142875</xdr:rowOff>
    </xdr:to>
    <xdr:pic>
      <xdr:nvPicPr>
        <xdr:cNvPr id="12292" name="Picture 4">
          <a:extLst>
            <a:ext uri="{FF2B5EF4-FFF2-40B4-BE49-F238E27FC236}">
              <a16:creationId xmlns:a16="http://schemas.microsoft.com/office/drawing/2014/main" id="{00000000-0008-0000-0300-000004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95250"/>
          <a:ext cx="8458200" cy="8629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7</xdr:row>
      <xdr:rowOff>47625</xdr:rowOff>
    </xdr:from>
    <xdr:to>
      <xdr:col>8</xdr:col>
      <xdr:colOff>409575</xdr:colOff>
      <xdr:row>8</xdr:row>
      <xdr:rowOff>228600</xdr:rowOff>
    </xdr:to>
    <xdr:sp macro="" textlink="">
      <xdr:nvSpPr>
        <xdr:cNvPr id="10242" name="AutoShape 2">
          <a:extLst>
            <a:ext uri="{FF2B5EF4-FFF2-40B4-BE49-F238E27FC236}">
              <a16:creationId xmlns:a16="http://schemas.microsoft.com/office/drawing/2014/main" id="{00000000-0008-0000-0400-000002280000}"/>
            </a:ext>
          </a:extLst>
        </xdr:cNvPr>
        <xdr:cNvSpPr>
          <a:spLocks noChangeArrowheads="1"/>
        </xdr:cNvSpPr>
      </xdr:nvSpPr>
      <xdr:spPr bwMode="auto">
        <a:xfrm>
          <a:off x="3933825" y="1181100"/>
          <a:ext cx="2124075" cy="361950"/>
        </a:xfrm>
        <a:prstGeom prst="foldedCorner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90000" tIns="108000" rIns="90000" bIns="4680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Function KSEIS (pikkus, kaal)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8</xdr:row>
          <xdr:rowOff>304800</xdr:rowOff>
        </xdr:from>
        <xdr:to>
          <xdr:col>10</xdr:col>
          <xdr:colOff>45720</xdr:colOff>
          <xdr:row>24</xdr:row>
          <xdr:rowOff>30480</xdr:rowOff>
        </xdr:to>
        <xdr:sp macro="" textlink="">
          <xdr:nvSpPr>
            <xdr:cNvPr id="10243" name="Object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28575</xdr:colOff>
      <xdr:row>0</xdr:row>
      <xdr:rowOff>19050</xdr:rowOff>
    </xdr:from>
    <xdr:to>
      <xdr:col>11</xdr:col>
      <xdr:colOff>542925</xdr:colOff>
      <xdr:row>6</xdr:row>
      <xdr:rowOff>9525</xdr:rowOff>
    </xdr:to>
    <xdr:sp macro="" textlink="">
      <xdr:nvSpPr>
        <xdr:cNvPr id="10246" name="Text Box 6">
          <a:extLst>
            <a:ext uri="{FF2B5EF4-FFF2-40B4-BE49-F238E27FC236}">
              <a16:creationId xmlns:a16="http://schemas.microsoft.com/office/drawing/2014/main" id="{00000000-0008-0000-0400-000006280000}"/>
            </a:ext>
          </a:extLst>
        </xdr:cNvPr>
        <xdr:cNvSpPr txBox="1">
          <a:spLocks noChangeArrowheads="1"/>
        </xdr:cNvSpPr>
      </xdr:nvSpPr>
      <xdr:spPr bwMode="auto">
        <a:xfrm>
          <a:off x="28575" y="19050"/>
          <a:ext cx="7991475" cy="962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Koostada skeemi alusel kasutajafunktsioon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VBA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-s, mis näitaks, kas inimene on alakaaluline, ülekaaluline või normaalse kaaluga.</a:t>
          </a:r>
        </a:p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Arvutada järgmiselt:</a:t>
          </a:r>
        </a:p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Kui pikkuse ja kaalu vahe jääb piiridesse 90 kuni 110, on kaal normaalne, kui vahe on väiksem, on kaal liiga suur, kui vahe on suurem, on kaal liiga väike</a:t>
          </a:r>
        </a:p>
        <a:p>
          <a:pPr algn="l" rtl="0">
            <a:lnSpc>
              <a:spcPts val="10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Koostada diagramm vastavalt näidisele.</a:t>
          </a:r>
        </a:p>
      </xdr:txBody>
    </xdr:sp>
    <xdr:clientData/>
  </xdr:twoCellAnchor>
  <xdr:twoCellAnchor editAs="oneCell">
    <xdr:from>
      <xdr:col>1</xdr:col>
      <xdr:colOff>0</xdr:colOff>
      <xdr:row>28</xdr:row>
      <xdr:rowOff>9525</xdr:rowOff>
    </xdr:from>
    <xdr:to>
      <xdr:col>6</xdr:col>
      <xdr:colOff>104775</xdr:colOff>
      <xdr:row>43</xdr:row>
      <xdr:rowOff>142875</xdr:rowOff>
    </xdr:to>
    <xdr:pic>
      <xdr:nvPicPr>
        <xdr:cNvPr id="10250" name="Picture 10">
          <a:extLst>
            <a:ext uri="{FF2B5EF4-FFF2-40B4-BE49-F238E27FC236}">
              <a16:creationId xmlns:a16="http://schemas.microsoft.com/office/drawing/2014/main" id="{00000000-0008-0000-0400-00000A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724400"/>
          <a:ext cx="3848100" cy="2562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128587</xdr:colOff>
      <xdr:row>28</xdr:row>
      <xdr:rowOff>4761</xdr:rowOff>
    </xdr:from>
    <xdr:to>
      <xdr:col>15</xdr:col>
      <xdr:colOff>428625</xdr:colOff>
      <xdr:row>48</xdr:row>
      <xdr:rowOff>66674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594360</xdr:colOff>
          <xdr:row>3</xdr:row>
          <xdr:rowOff>114300</xdr:rowOff>
        </xdr:from>
        <xdr:to>
          <xdr:col>18</xdr:col>
          <xdr:colOff>144780</xdr:colOff>
          <xdr:row>8</xdr:row>
          <xdr:rowOff>30480</xdr:rowOff>
        </xdr:to>
        <xdr:sp macro="" textlink="">
          <xdr:nvSpPr>
            <xdr:cNvPr id="3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</xdr:colOff>
          <xdr:row>9</xdr:row>
          <xdr:rowOff>152400</xdr:rowOff>
        </xdr:from>
        <xdr:to>
          <xdr:col>18</xdr:col>
          <xdr:colOff>144780</xdr:colOff>
          <xdr:row>16</xdr:row>
          <xdr:rowOff>30480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4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213360</xdr:colOff>
          <xdr:row>12</xdr:row>
          <xdr:rowOff>137160</xdr:rowOff>
        </xdr:from>
        <xdr:to>
          <xdr:col>25</xdr:col>
          <xdr:colOff>411480</xdr:colOff>
          <xdr:row>20</xdr:row>
          <xdr:rowOff>38100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4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Diagramm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333375</xdr:colOff>
      <xdr:row>21</xdr:row>
      <xdr:rowOff>133350</xdr:rowOff>
    </xdr:from>
    <xdr:to>
      <xdr:col>22</xdr:col>
      <xdr:colOff>28575</xdr:colOff>
      <xdr:row>38</xdr:row>
      <xdr:rowOff>123825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333375</xdr:colOff>
      <xdr:row>21</xdr:row>
      <xdr:rowOff>133350</xdr:rowOff>
    </xdr:from>
    <xdr:to>
      <xdr:col>22</xdr:col>
      <xdr:colOff>28575</xdr:colOff>
      <xdr:row>38</xdr:row>
      <xdr:rowOff>123825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321945</xdr:colOff>
      <xdr:row>27</xdr:row>
      <xdr:rowOff>78105</xdr:rowOff>
    </xdr:from>
    <xdr:to>
      <xdr:col>34</xdr:col>
      <xdr:colOff>17145</xdr:colOff>
      <xdr:row>44</xdr:row>
      <xdr:rowOff>68580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333375</xdr:colOff>
      <xdr:row>21</xdr:row>
      <xdr:rowOff>133350</xdr:rowOff>
    </xdr:from>
    <xdr:to>
      <xdr:col>22</xdr:col>
      <xdr:colOff>28575</xdr:colOff>
      <xdr:row>38</xdr:row>
      <xdr:rowOff>123825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7</xdr:col>
      <xdr:colOff>342900</xdr:colOff>
      <xdr:row>5</xdr:row>
      <xdr:rowOff>38100</xdr:rowOff>
    </xdr:to>
    <xdr:sp macro="" textlink="">
      <xdr:nvSpPr>
        <xdr:cNvPr id="11267" name="Text Box 3">
          <a:extLst>
            <a:ext uri="{FF2B5EF4-FFF2-40B4-BE49-F238E27FC236}">
              <a16:creationId xmlns:a16="http://schemas.microsoft.com/office/drawing/2014/main" id="{00000000-0008-0000-0500-0000032C0000}"/>
            </a:ext>
          </a:extLst>
        </xdr:cNvPr>
        <xdr:cNvSpPr txBox="1">
          <a:spLocks noChangeArrowheads="1"/>
        </xdr:cNvSpPr>
      </xdr:nvSpPr>
      <xdr:spPr bwMode="auto">
        <a:xfrm>
          <a:off x="9525" y="19050"/>
          <a:ext cx="4905375" cy="971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On antud kontrolltöö tulemused punktides ja tabel reeglitega.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Koostada UML-skeem.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Kirjutada kasutajafunktsioon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hinne (punktid)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, mis punktide järgi leiab hinne.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Funktsiooni kirjutamisel kasutada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Select Case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-lauset.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Koostada diagrammid vastavalt näidetele</a:t>
          </a:r>
        </a:p>
      </xdr:txBody>
    </xdr:sp>
    <xdr:clientData/>
  </xdr:twoCellAnchor>
  <xdr:twoCellAnchor editAs="oneCell">
    <xdr:from>
      <xdr:col>7</xdr:col>
      <xdr:colOff>0</xdr:colOff>
      <xdr:row>7</xdr:row>
      <xdr:rowOff>0</xdr:rowOff>
    </xdr:from>
    <xdr:to>
      <xdr:col>9</xdr:col>
      <xdr:colOff>276225</xdr:colOff>
      <xdr:row>15</xdr:row>
      <xdr:rowOff>9525</xdr:rowOff>
    </xdr:to>
    <xdr:pic>
      <xdr:nvPicPr>
        <xdr:cNvPr id="11268" name="Picture 4">
          <a:extLst>
            <a:ext uri="{FF2B5EF4-FFF2-40B4-BE49-F238E27FC236}">
              <a16:creationId xmlns:a16="http://schemas.microsoft.com/office/drawing/2014/main" id="{00000000-0008-0000-0500-000004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343025"/>
          <a:ext cx="180022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38100</xdr:colOff>
      <xdr:row>17</xdr:row>
      <xdr:rowOff>19050</xdr:rowOff>
    </xdr:from>
    <xdr:to>
      <xdr:col>12</xdr:col>
      <xdr:colOff>628650</xdr:colOff>
      <xdr:row>31</xdr:row>
      <xdr:rowOff>85725</xdr:rowOff>
    </xdr:to>
    <xdr:pic>
      <xdr:nvPicPr>
        <xdr:cNvPr id="11269" name="Picture 5">
          <a:extLst>
            <a:ext uri="{FF2B5EF4-FFF2-40B4-BE49-F238E27FC236}">
              <a16:creationId xmlns:a16="http://schemas.microsoft.com/office/drawing/2014/main" id="{00000000-0008-0000-0500-000005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3286125"/>
          <a:ext cx="8972550" cy="2733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34</xdr:row>
      <xdr:rowOff>71437</xdr:rowOff>
    </xdr:from>
    <xdr:to>
      <xdr:col>7</xdr:col>
      <xdr:colOff>123825</xdr:colOff>
      <xdr:row>48</xdr:row>
      <xdr:rowOff>147637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114300</xdr:colOff>
      <xdr:row>33</xdr:row>
      <xdr:rowOff>80962</xdr:rowOff>
    </xdr:from>
    <xdr:to>
      <xdr:col>14</xdr:col>
      <xdr:colOff>114300</xdr:colOff>
      <xdr:row>47</xdr:row>
      <xdr:rowOff>157162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3</xdr:row>
          <xdr:rowOff>30480</xdr:rowOff>
        </xdr:from>
        <xdr:to>
          <xdr:col>14</xdr:col>
          <xdr:colOff>731520</xdr:colOff>
          <xdr:row>6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8</xdr:row>
          <xdr:rowOff>83820</xdr:rowOff>
        </xdr:from>
        <xdr:to>
          <xdr:col>15</xdr:col>
          <xdr:colOff>137160</xdr:colOff>
          <xdr:row>14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190500</xdr:colOff>
          <xdr:row>9</xdr:row>
          <xdr:rowOff>7620</xdr:rowOff>
        </xdr:from>
        <xdr:to>
          <xdr:col>20</xdr:col>
          <xdr:colOff>137160</xdr:colOff>
          <xdr:row>16</xdr:row>
          <xdr:rowOff>182880</xdr:rowOff>
        </xdr:to>
        <xdr:sp macro="" textlink="">
          <xdr:nvSpPr>
            <xdr:cNvPr id="4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Diagramm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3</xdr:row>
      <xdr:rowOff>0</xdr:rowOff>
    </xdr:from>
    <xdr:to>
      <xdr:col>23</xdr:col>
      <xdr:colOff>0</xdr:colOff>
      <xdr:row>17</xdr:row>
      <xdr:rowOff>47625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438150</xdr:colOff>
      <xdr:row>6</xdr:row>
      <xdr:rowOff>76200</xdr:rowOff>
    </xdr:from>
    <xdr:to>
      <xdr:col>15</xdr:col>
      <xdr:colOff>104775</xdr:colOff>
      <xdr:row>11</xdr:row>
      <xdr:rowOff>114300</xdr:rowOff>
    </xdr:to>
    <xdr:grpSp>
      <xdr:nvGrpSpPr>
        <xdr:cNvPr id="17409" name="Group 1">
          <a:extLst>
            <a:ext uri="{FF2B5EF4-FFF2-40B4-BE49-F238E27FC236}">
              <a16:creationId xmlns:a16="http://schemas.microsoft.com/office/drawing/2014/main" id="{00000000-0008-0000-0600-000001440000}"/>
            </a:ext>
          </a:extLst>
        </xdr:cNvPr>
        <xdr:cNvGrpSpPr>
          <a:grpSpLocks/>
        </xdr:cNvGrpSpPr>
      </xdr:nvGrpSpPr>
      <xdr:grpSpPr bwMode="auto">
        <a:xfrm>
          <a:off x="5612130" y="1638300"/>
          <a:ext cx="2638425" cy="1386840"/>
          <a:chOff x="278" y="384"/>
          <a:chExt cx="285" cy="147"/>
        </a:xfrm>
      </xdr:grpSpPr>
      <xdr:sp macro="" textlink="">
        <xdr:nvSpPr>
          <xdr:cNvPr id="17410" name="AutoShape 2">
            <a:extLst>
              <a:ext uri="{FF2B5EF4-FFF2-40B4-BE49-F238E27FC236}">
                <a16:creationId xmlns:a16="http://schemas.microsoft.com/office/drawing/2014/main" id="{00000000-0008-0000-0600-000002440000}"/>
              </a:ext>
            </a:extLst>
          </xdr:cNvPr>
          <xdr:cNvSpPr>
            <a:spLocks noChangeArrowheads="1"/>
          </xdr:cNvSpPr>
        </xdr:nvSpPr>
        <xdr:spPr bwMode="auto">
          <a:xfrm>
            <a:off x="401" y="404"/>
            <a:ext cx="34" cy="19"/>
          </a:xfrm>
          <a:prstGeom prst="flowChartDecision">
            <a:avLst/>
          </a:prstGeom>
          <a:solidFill>
            <a:srgbClr xmlns:mc="http://schemas.openxmlformats.org/markup-compatibility/2006" xmlns:a14="http://schemas.microsoft.com/office/drawing/2010/main" val="CCECFF" mc:Ignorable="a14" a14:legacySpreadsheetColorIndex="4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cxnSp macro="">
        <xdr:nvCxnSpPr>
          <xdr:cNvPr id="17411" name="AutoShape 3">
            <a:extLst>
              <a:ext uri="{FF2B5EF4-FFF2-40B4-BE49-F238E27FC236}">
                <a16:creationId xmlns:a16="http://schemas.microsoft.com/office/drawing/2014/main" id="{00000000-0008-0000-0600-000003440000}"/>
              </a:ext>
            </a:extLst>
          </xdr:cNvPr>
          <xdr:cNvCxnSpPr>
            <a:cxnSpLocks noChangeShapeType="1"/>
            <a:stCxn id="17410" idx="1"/>
            <a:endCxn id="17416" idx="0"/>
          </xdr:cNvCxnSpPr>
        </xdr:nvCxnSpPr>
        <xdr:spPr bwMode="auto">
          <a:xfrm rot="10800000" flipV="1">
            <a:off x="335" y="414"/>
            <a:ext cx="66" cy="30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12" name="AutoShape 4">
            <a:extLst>
              <a:ext uri="{FF2B5EF4-FFF2-40B4-BE49-F238E27FC236}">
                <a16:creationId xmlns:a16="http://schemas.microsoft.com/office/drawing/2014/main" id="{00000000-0008-0000-0600-000004440000}"/>
              </a:ext>
            </a:extLst>
          </xdr:cNvPr>
          <xdr:cNvCxnSpPr>
            <a:cxnSpLocks noChangeShapeType="1"/>
            <a:stCxn id="17410" idx="3"/>
            <a:endCxn id="17413" idx="0"/>
          </xdr:cNvCxnSpPr>
        </xdr:nvCxnSpPr>
        <xdr:spPr bwMode="auto">
          <a:xfrm>
            <a:off x="435" y="414"/>
            <a:ext cx="72" cy="30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13" name="AutoShape 5">
            <a:extLst>
              <a:ext uri="{FF2B5EF4-FFF2-40B4-BE49-F238E27FC236}">
                <a16:creationId xmlns:a16="http://schemas.microsoft.com/office/drawing/2014/main" id="{00000000-0008-0000-0600-000005440000}"/>
              </a:ext>
            </a:extLst>
          </xdr:cNvPr>
          <xdr:cNvSpPr>
            <a:spLocks noChangeArrowheads="1"/>
          </xdr:cNvSpPr>
        </xdr:nvSpPr>
        <xdr:spPr bwMode="auto">
          <a:xfrm>
            <a:off x="450" y="444"/>
            <a:ext cx="113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ctr" rtl="0">
              <a:defRPr sz="1000"/>
            </a:pPr>
            <a:r>
              <a:rPr lang="en-US" sz="12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laused_2</a:t>
            </a:r>
          </a:p>
        </xdr:txBody>
      </xdr:sp>
      <xdr:cxnSp macro="">
        <xdr:nvCxnSpPr>
          <xdr:cNvPr id="17414" name="AutoShape 6">
            <a:extLst>
              <a:ext uri="{FF2B5EF4-FFF2-40B4-BE49-F238E27FC236}">
                <a16:creationId xmlns:a16="http://schemas.microsoft.com/office/drawing/2014/main" id="{00000000-0008-0000-0600-000006440000}"/>
              </a:ext>
            </a:extLst>
          </xdr:cNvPr>
          <xdr:cNvCxnSpPr>
            <a:cxnSpLocks noChangeShapeType="1"/>
            <a:stCxn id="17416" idx="2"/>
            <a:endCxn id="17417" idx="1"/>
          </xdr:cNvCxnSpPr>
        </xdr:nvCxnSpPr>
        <xdr:spPr bwMode="auto">
          <a:xfrm rot="16200000" flipH="1">
            <a:off x="357" y="460"/>
            <a:ext cx="22" cy="65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15" name="AutoShape 7">
            <a:extLst>
              <a:ext uri="{FF2B5EF4-FFF2-40B4-BE49-F238E27FC236}">
                <a16:creationId xmlns:a16="http://schemas.microsoft.com/office/drawing/2014/main" id="{00000000-0008-0000-0600-000007440000}"/>
              </a:ext>
            </a:extLst>
          </xdr:cNvPr>
          <xdr:cNvCxnSpPr>
            <a:cxnSpLocks noChangeShapeType="1"/>
            <a:stCxn id="17413" idx="2"/>
            <a:endCxn id="17417" idx="3"/>
          </xdr:cNvCxnSpPr>
        </xdr:nvCxnSpPr>
        <xdr:spPr bwMode="auto">
          <a:xfrm rot="5400000">
            <a:off x="460" y="456"/>
            <a:ext cx="22" cy="73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16" name="AutoShape 8">
            <a:extLst>
              <a:ext uri="{FF2B5EF4-FFF2-40B4-BE49-F238E27FC236}">
                <a16:creationId xmlns:a16="http://schemas.microsoft.com/office/drawing/2014/main" id="{00000000-0008-0000-0600-000008440000}"/>
              </a:ext>
            </a:extLst>
          </xdr:cNvPr>
          <xdr:cNvSpPr>
            <a:spLocks noChangeArrowheads="1"/>
          </xdr:cNvSpPr>
        </xdr:nvSpPr>
        <xdr:spPr bwMode="auto">
          <a:xfrm>
            <a:off x="278" y="444"/>
            <a:ext cx="113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ctr" rtl="0">
              <a:defRPr sz="1000"/>
            </a:pPr>
            <a:r>
              <a:rPr lang="en-US" sz="12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laused_1</a:t>
            </a:r>
          </a:p>
        </xdr:txBody>
      </xdr:sp>
      <xdr:sp macro="" textlink="">
        <xdr:nvSpPr>
          <xdr:cNvPr id="17417" name="AutoShape 9">
            <a:extLst>
              <a:ext uri="{FF2B5EF4-FFF2-40B4-BE49-F238E27FC236}">
                <a16:creationId xmlns:a16="http://schemas.microsoft.com/office/drawing/2014/main" id="{00000000-0008-0000-0600-000009440000}"/>
              </a:ext>
            </a:extLst>
          </xdr:cNvPr>
          <xdr:cNvSpPr>
            <a:spLocks noChangeArrowheads="1"/>
          </xdr:cNvSpPr>
        </xdr:nvSpPr>
        <xdr:spPr bwMode="auto">
          <a:xfrm>
            <a:off x="400" y="494"/>
            <a:ext cx="34" cy="19"/>
          </a:xfrm>
          <a:prstGeom prst="flowChartDecision">
            <a:avLst/>
          </a:prstGeom>
          <a:solidFill>
            <a:srgbClr xmlns:mc="http://schemas.openxmlformats.org/markup-compatibility/2006" xmlns:a14="http://schemas.microsoft.com/office/drawing/2010/main" val="CCECFF" mc:Ignorable="a14" a14:legacySpreadsheetColorIndex="4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cxnSp macro="">
        <xdr:nvCxnSpPr>
          <xdr:cNvPr id="17418" name="AutoShape 10">
            <a:extLst>
              <a:ext uri="{FF2B5EF4-FFF2-40B4-BE49-F238E27FC236}">
                <a16:creationId xmlns:a16="http://schemas.microsoft.com/office/drawing/2014/main" id="{00000000-0008-0000-0600-00000A440000}"/>
              </a:ext>
            </a:extLst>
          </xdr:cNvPr>
          <xdr:cNvCxnSpPr>
            <a:cxnSpLocks noChangeShapeType="1"/>
            <a:endCxn id="17410" idx="0"/>
          </xdr:cNvCxnSpPr>
        </xdr:nvCxnSpPr>
        <xdr:spPr bwMode="auto">
          <a:xfrm>
            <a:off x="418" y="384"/>
            <a:ext cx="0" cy="2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19" name="AutoShape 11">
            <a:extLst>
              <a:ext uri="{FF2B5EF4-FFF2-40B4-BE49-F238E27FC236}">
                <a16:creationId xmlns:a16="http://schemas.microsoft.com/office/drawing/2014/main" id="{00000000-0008-0000-0600-00000B440000}"/>
              </a:ext>
            </a:extLst>
          </xdr:cNvPr>
          <xdr:cNvCxnSpPr>
            <a:cxnSpLocks noChangeShapeType="1"/>
            <a:stCxn id="17417" idx="2"/>
          </xdr:cNvCxnSpPr>
        </xdr:nvCxnSpPr>
        <xdr:spPr bwMode="auto">
          <a:xfrm>
            <a:off x="417" y="513"/>
            <a:ext cx="0" cy="18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20" name="Text Box 12">
            <a:extLst>
              <a:ext uri="{FF2B5EF4-FFF2-40B4-BE49-F238E27FC236}">
                <a16:creationId xmlns:a16="http://schemas.microsoft.com/office/drawing/2014/main" id="{00000000-0008-0000-0600-00000C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42" y="411"/>
            <a:ext cx="58" cy="2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36576" tIns="22860" rIns="0" bIns="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sp macro="" textlink="">
        <xdr:nvSpPr>
          <xdr:cNvPr id="17421" name="Text Box 13">
            <a:extLst>
              <a:ext uri="{FF2B5EF4-FFF2-40B4-BE49-F238E27FC236}">
                <a16:creationId xmlns:a16="http://schemas.microsoft.com/office/drawing/2014/main" id="{00000000-0008-0000-0600-00000D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0" y="412"/>
            <a:ext cx="40" cy="24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17422" name="Text Box 14">
            <a:extLst>
              <a:ext uri="{FF2B5EF4-FFF2-40B4-BE49-F238E27FC236}">
                <a16:creationId xmlns:a16="http://schemas.microsoft.com/office/drawing/2014/main" id="{00000000-0008-0000-0600-00000E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3" y="388"/>
            <a:ext cx="74" cy="24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tingimus</a:t>
            </a:r>
          </a:p>
        </xdr:txBody>
      </xdr:sp>
    </xdr:grpSp>
    <xdr:clientData/>
  </xdr:twoCellAnchor>
  <xdr:twoCellAnchor>
    <xdr:from>
      <xdr:col>4</xdr:col>
      <xdr:colOff>266700</xdr:colOff>
      <xdr:row>23</xdr:row>
      <xdr:rowOff>133350</xdr:rowOff>
    </xdr:from>
    <xdr:to>
      <xdr:col>12</xdr:col>
      <xdr:colOff>419100</xdr:colOff>
      <xdr:row>36</xdr:row>
      <xdr:rowOff>104775</xdr:rowOff>
    </xdr:to>
    <xdr:grpSp>
      <xdr:nvGrpSpPr>
        <xdr:cNvPr id="17423" name="Group 15">
          <a:extLst>
            <a:ext uri="{FF2B5EF4-FFF2-40B4-BE49-F238E27FC236}">
              <a16:creationId xmlns:a16="http://schemas.microsoft.com/office/drawing/2014/main" id="{00000000-0008-0000-0600-00000F440000}"/>
            </a:ext>
          </a:extLst>
        </xdr:cNvPr>
        <xdr:cNvGrpSpPr>
          <a:grpSpLocks/>
        </xdr:cNvGrpSpPr>
      </xdr:nvGrpSpPr>
      <xdr:grpSpPr bwMode="auto">
        <a:xfrm>
          <a:off x="2354580" y="5634990"/>
          <a:ext cx="4427220" cy="2569845"/>
          <a:chOff x="261" y="78"/>
          <a:chExt cx="473" cy="257"/>
        </a:xfrm>
      </xdr:grpSpPr>
      <xdr:sp macro="" textlink="">
        <xdr:nvSpPr>
          <xdr:cNvPr id="17424" name="Text Box 16">
            <a:extLst>
              <a:ext uri="{FF2B5EF4-FFF2-40B4-BE49-F238E27FC236}">
                <a16:creationId xmlns:a16="http://schemas.microsoft.com/office/drawing/2014/main" id="{00000000-0008-0000-0600-000010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94" y="94"/>
            <a:ext cx="117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[kriteerium-1]</a:t>
            </a:r>
          </a:p>
        </xdr:txBody>
      </xdr:sp>
      <xdr:sp macro="" textlink="">
        <xdr:nvSpPr>
          <xdr:cNvPr id="17425" name="AutoShape 17">
            <a:extLst>
              <a:ext uri="{FF2B5EF4-FFF2-40B4-BE49-F238E27FC236}">
                <a16:creationId xmlns:a16="http://schemas.microsoft.com/office/drawing/2014/main" id="{00000000-0008-0000-0600-000011440000}"/>
              </a:ext>
            </a:extLst>
          </xdr:cNvPr>
          <xdr:cNvSpPr>
            <a:spLocks noChangeArrowheads="1"/>
          </xdr:cNvSpPr>
        </xdr:nvSpPr>
        <xdr:spPr bwMode="auto">
          <a:xfrm>
            <a:off x="462" y="106"/>
            <a:ext cx="61" cy="34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cxnSp macro="">
        <xdr:nvCxnSpPr>
          <xdr:cNvPr id="17426" name="AutoShape 18">
            <a:extLst>
              <a:ext uri="{FF2B5EF4-FFF2-40B4-BE49-F238E27FC236}">
                <a16:creationId xmlns:a16="http://schemas.microsoft.com/office/drawing/2014/main" id="{00000000-0008-0000-0600-00001244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93" y="78"/>
            <a:ext cx="0" cy="28"/>
          </a:xfrm>
          <a:prstGeom prst="straightConnector1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7427" name="AutoShape 19">
            <a:extLst>
              <a:ext uri="{FF2B5EF4-FFF2-40B4-BE49-F238E27FC236}">
                <a16:creationId xmlns:a16="http://schemas.microsoft.com/office/drawing/2014/main" id="{00000000-0008-0000-0600-000013440000}"/>
              </a:ext>
            </a:extLst>
          </xdr:cNvPr>
          <xdr:cNvSpPr>
            <a:spLocks noChangeArrowheads="1"/>
          </xdr:cNvSpPr>
        </xdr:nvSpPr>
        <xdr:spPr bwMode="auto">
          <a:xfrm>
            <a:off x="261" y="203"/>
            <a:ext cx="96" cy="26"/>
          </a:xfrm>
          <a:prstGeom prst="roundRect">
            <a:avLst>
              <a:gd name="adj" fmla="val 24241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 -1</a:t>
            </a:r>
          </a:p>
        </xdr:txBody>
      </xdr:sp>
      <xdr:sp macro="" textlink="">
        <xdr:nvSpPr>
          <xdr:cNvPr id="17428" name="AutoShape 20">
            <a:extLst>
              <a:ext uri="{FF2B5EF4-FFF2-40B4-BE49-F238E27FC236}">
                <a16:creationId xmlns:a16="http://schemas.microsoft.com/office/drawing/2014/main" id="{00000000-0008-0000-0600-000014440000}"/>
              </a:ext>
            </a:extLst>
          </xdr:cNvPr>
          <xdr:cNvSpPr>
            <a:spLocks noChangeArrowheads="1"/>
          </xdr:cNvSpPr>
        </xdr:nvSpPr>
        <xdr:spPr bwMode="auto">
          <a:xfrm>
            <a:off x="366" y="203"/>
            <a:ext cx="96" cy="26"/>
          </a:xfrm>
          <a:prstGeom prst="roundRect">
            <a:avLst>
              <a:gd name="adj" fmla="val 24241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 -2</a:t>
            </a:r>
          </a:p>
        </xdr:txBody>
      </xdr:sp>
      <xdr:sp macro="" textlink="">
        <xdr:nvSpPr>
          <xdr:cNvPr id="17429" name="AutoShape 21">
            <a:extLst>
              <a:ext uri="{FF2B5EF4-FFF2-40B4-BE49-F238E27FC236}">
                <a16:creationId xmlns:a16="http://schemas.microsoft.com/office/drawing/2014/main" id="{00000000-0008-0000-0600-000015440000}"/>
              </a:ext>
            </a:extLst>
          </xdr:cNvPr>
          <xdr:cNvSpPr>
            <a:spLocks noChangeArrowheads="1"/>
          </xdr:cNvSpPr>
        </xdr:nvSpPr>
        <xdr:spPr bwMode="auto">
          <a:xfrm>
            <a:off x="512" y="203"/>
            <a:ext cx="96" cy="26"/>
          </a:xfrm>
          <a:prstGeom prst="roundRect">
            <a:avLst>
              <a:gd name="adj" fmla="val 24241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 -n</a:t>
            </a:r>
          </a:p>
        </xdr:txBody>
      </xdr:sp>
      <xdr:sp macro="" textlink="">
        <xdr:nvSpPr>
          <xdr:cNvPr id="17430" name="AutoShape 22">
            <a:extLst>
              <a:ext uri="{FF2B5EF4-FFF2-40B4-BE49-F238E27FC236}">
                <a16:creationId xmlns:a16="http://schemas.microsoft.com/office/drawing/2014/main" id="{00000000-0008-0000-0600-000016440000}"/>
              </a:ext>
            </a:extLst>
          </xdr:cNvPr>
          <xdr:cNvSpPr>
            <a:spLocks noChangeArrowheads="1"/>
          </xdr:cNvSpPr>
        </xdr:nvSpPr>
        <xdr:spPr bwMode="auto">
          <a:xfrm>
            <a:off x="616" y="202"/>
            <a:ext cx="118" cy="27"/>
          </a:xfrm>
          <a:prstGeom prst="roundRect">
            <a:avLst>
              <a:gd name="adj" fmla="val 24241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else_laused</a:t>
            </a:r>
          </a:p>
        </xdr:txBody>
      </xdr:sp>
      <xdr:cxnSp macro="">
        <xdr:nvCxnSpPr>
          <xdr:cNvPr id="17431" name="AutoShape 23">
            <a:extLst>
              <a:ext uri="{FF2B5EF4-FFF2-40B4-BE49-F238E27FC236}">
                <a16:creationId xmlns:a16="http://schemas.microsoft.com/office/drawing/2014/main" id="{00000000-0008-0000-0600-000017440000}"/>
              </a:ext>
            </a:extLst>
          </xdr:cNvPr>
          <xdr:cNvCxnSpPr>
            <a:cxnSpLocks noChangeShapeType="1"/>
            <a:stCxn id="17425" idx="1"/>
            <a:endCxn id="17427" idx="0"/>
          </xdr:cNvCxnSpPr>
        </xdr:nvCxnSpPr>
        <xdr:spPr bwMode="auto">
          <a:xfrm rot="10800000" flipV="1">
            <a:off x="309" y="123"/>
            <a:ext cx="153" cy="80"/>
          </a:xfrm>
          <a:prstGeom prst="bentConnector2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32" name="AutoShape 24">
            <a:extLst>
              <a:ext uri="{FF2B5EF4-FFF2-40B4-BE49-F238E27FC236}">
                <a16:creationId xmlns:a16="http://schemas.microsoft.com/office/drawing/2014/main" id="{00000000-0008-0000-0600-000018440000}"/>
              </a:ext>
            </a:extLst>
          </xdr:cNvPr>
          <xdr:cNvCxnSpPr>
            <a:cxnSpLocks noChangeShapeType="1"/>
            <a:stCxn id="17425" idx="2"/>
            <a:endCxn id="17428" idx="0"/>
          </xdr:cNvCxnSpPr>
        </xdr:nvCxnSpPr>
        <xdr:spPr bwMode="auto">
          <a:xfrm rot="5400000">
            <a:off x="422" y="132"/>
            <a:ext cx="63" cy="79"/>
          </a:xfrm>
          <a:prstGeom prst="bentConnector3">
            <a:avLst>
              <a:gd name="adj1" fmla="val 1218"/>
            </a:avLst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33" name="AutoShape 25">
            <a:extLst>
              <a:ext uri="{FF2B5EF4-FFF2-40B4-BE49-F238E27FC236}">
                <a16:creationId xmlns:a16="http://schemas.microsoft.com/office/drawing/2014/main" id="{00000000-0008-0000-0600-000019440000}"/>
              </a:ext>
            </a:extLst>
          </xdr:cNvPr>
          <xdr:cNvCxnSpPr>
            <a:cxnSpLocks noChangeShapeType="1"/>
            <a:stCxn id="17425" idx="2"/>
            <a:endCxn id="17429" idx="0"/>
          </xdr:cNvCxnSpPr>
        </xdr:nvCxnSpPr>
        <xdr:spPr bwMode="auto">
          <a:xfrm rot="16200000" flipH="1">
            <a:off x="495" y="138"/>
            <a:ext cx="63" cy="67"/>
          </a:xfrm>
          <a:prstGeom prst="bentConnector3">
            <a:avLst>
              <a:gd name="adj1" fmla="val 1218"/>
            </a:avLst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34" name="AutoShape 26">
            <a:extLst>
              <a:ext uri="{FF2B5EF4-FFF2-40B4-BE49-F238E27FC236}">
                <a16:creationId xmlns:a16="http://schemas.microsoft.com/office/drawing/2014/main" id="{00000000-0008-0000-0600-00001A440000}"/>
              </a:ext>
            </a:extLst>
          </xdr:cNvPr>
          <xdr:cNvCxnSpPr>
            <a:cxnSpLocks noChangeShapeType="1"/>
            <a:stCxn id="17425" idx="3"/>
            <a:endCxn id="17430" idx="0"/>
          </xdr:cNvCxnSpPr>
        </xdr:nvCxnSpPr>
        <xdr:spPr bwMode="auto">
          <a:xfrm>
            <a:off x="523" y="123"/>
            <a:ext cx="152" cy="79"/>
          </a:xfrm>
          <a:prstGeom prst="bentConnector2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7435" name="Text Box 27">
            <a:extLst>
              <a:ext uri="{FF2B5EF4-FFF2-40B4-BE49-F238E27FC236}">
                <a16:creationId xmlns:a16="http://schemas.microsoft.com/office/drawing/2014/main" id="{00000000-0008-0000-0600-00001B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2" y="154"/>
            <a:ext cx="117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[kriteerium-2]</a:t>
            </a:r>
          </a:p>
        </xdr:txBody>
      </xdr:sp>
      <xdr:sp macro="" textlink="">
        <xdr:nvSpPr>
          <xdr:cNvPr id="17436" name="Text Box 28">
            <a:extLst>
              <a:ext uri="{FF2B5EF4-FFF2-40B4-BE49-F238E27FC236}">
                <a16:creationId xmlns:a16="http://schemas.microsoft.com/office/drawing/2014/main" id="{00000000-0008-0000-0600-00001C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78" y="203"/>
            <a:ext cx="24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...</a:t>
            </a:r>
          </a:p>
        </xdr:txBody>
      </xdr:sp>
      <xdr:sp macro="" textlink="">
        <xdr:nvSpPr>
          <xdr:cNvPr id="17437" name="Text Box 29">
            <a:extLst>
              <a:ext uri="{FF2B5EF4-FFF2-40B4-BE49-F238E27FC236}">
                <a16:creationId xmlns:a16="http://schemas.microsoft.com/office/drawing/2014/main" id="{00000000-0008-0000-0600-00001D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1" y="94"/>
            <a:ext cx="138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[vastasel juhul]</a:t>
            </a:r>
          </a:p>
        </xdr:txBody>
      </xdr:sp>
      <xdr:sp macro="" textlink="">
        <xdr:nvSpPr>
          <xdr:cNvPr id="17438" name="Text Box 30">
            <a:extLst>
              <a:ext uri="{FF2B5EF4-FFF2-40B4-BE49-F238E27FC236}">
                <a16:creationId xmlns:a16="http://schemas.microsoft.com/office/drawing/2014/main" id="{00000000-0008-0000-0600-00001E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01" y="155"/>
            <a:ext cx="117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[kriteerium-n]</a:t>
            </a:r>
          </a:p>
        </xdr:txBody>
      </xdr:sp>
      <xdr:sp macro="" textlink="">
        <xdr:nvSpPr>
          <xdr:cNvPr id="17439" name="AutoShape 31">
            <a:extLst>
              <a:ext uri="{FF2B5EF4-FFF2-40B4-BE49-F238E27FC236}">
                <a16:creationId xmlns:a16="http://schemas.microsoft.com/office/drawing/2014/main" id="{00000000-0008-0000-0600-00001F440000}"/>
              </a:ext>
            </a:extLst>
          </xdr:cNvPr>
          <xdr:cNvSpPr>
            <a:spLocks noChangeArrowheads="1"/>
          </xdr:cNvSpPr>
        </xdr:nvSpPr>
        <xdr:spPr bwMode="auto">
          <a:xfrm>
            <a:off x="462" y="276"/>
            <a:ext cx="61" cy="34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cxnSp macro="">
        <xdr:nvCxnSpPr>
          <xdr:cNvPr id="17440" name="AutoShape 32">
            <a:extLst>
              <a:ext uri="{FF2B5EF4-FFF2-40B4-BE49-F238E27FC236}">
                <a16:creationId xmlns:a16="http://schemas.microsoft.com/office/drawing/2014/main" id="{00000000-0008-0000-0600-000020440000}"/>
              </a:ext>
            </a:extLst>
          </xdr:cNvPr>
          <xdr:cNvCxnSpPr>
            <a:cxnSpLocks noChangeShapeType="1"/>
            <a:stCxn id="17427" idx="2"/>
            <a:endCxn id="17439" idx="1"/>
          </xdr:cNvCxnSpPr>
        </xdr:nvCxnSpPr>
        <xdr:spPr bwMode="auto">
          <a:xfrm rot="16200000" flipH="1">
            <a:off x="354" y="184"/>
            <a:ext cx="64" cy="153"/>
          </a:xfrm>
          <a:prstGeom prst="bentConnector2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41" name="AutoShape 33">
            <a:extLst>
              <a:ext uri="{FF2B5EF4-FFF2-40B4-BE49-F238E27FC236}">
                <a16:creationId xmlns:a16="http://schemas.microsoft.com/office/drawing/2014/main" id="{00000000-0008-0000-0600-000021440000}"/>
              </a:ext>
            </a:extLst>
          </xdr:cNvPr>
          <xdr:cNvCxnSpPr>
            <a:cxnSpLocks noChangeShapeType="1"/>
            <a:stCxn id="17428" idx="2"/>
          </xdr:cNvCxnSpPr>
        </xdr:nvCxnSpPr>
        <xdr:spPr bwMode="auto">
          <a:xfrm>
            <a:off x="414" y="229"/>
            <a:ext cx="0" cy="65"/>
          </a:xfrm>
          <a:prstGeom prst="straightConnector1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42" name="AutoShape 34">
            <a:extLst>
              <a:ext uri="{FF2B5EF4-FFF2-40B4-BE49-F238E27FC236}">
                <a16:creationId xmlns:a16="http://schemas.microsoft.com/office/drawing/2014/main" id="{00000000-0008-0000-0600-000022440000}"/>
              </a:ext>
            </a:extLst>
          </xdr:cNvPr>
          <xdr:cNvCxnSpPr>
            <a:cxnSpLocks noChangeShapeType="1"/>
            <a:stCxn id="17430" idx="2"/>
            <a:endCxn id="17439" idx="3"/>
          </xdr:cNvCxnSpPr>
        </xdr:nvCxnSpPr>
        <xdr:spPr bwMode="auto">
          <a:xfrm rot="5400000">
            <a:off x="567" y="185"/>
            <a:ext cx="64" cy="152"/>
          </a:xfrm>
          <a:prstGeom prst="bentConnector2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43" name="AutoShape 35">
            <a:extLst>
              <a:ext uri="{FF2B5EF4-FFF2-40B4-BE49-F238E27FC236}">
                <a16:creationId xmlns:a16="http://schemas.microsoft.com/office/drawing/2014/main" id="{00000000-0008-0000-0600-000023440000}"/>
              </a:ext>
            </a:extLst>
          </xdr:cNvPr>
          <xdr:cNvCxnSpPr>
            <a:cxnSpLocks noChangeShapeType="1"/>
            <a:stCxn id="17429" idx="2"/>
          </xdr:cNvCxnSpPr>
        </xdr:nvCxnSpPr>
        <xdr:spPr bwMode="auto">
          <a:xfrm>
            <a:off x="560" y="229"/>
            <a:ext cx="0" cy="64"/>
          </a:xfrm>
          <a:prstGeom prst="straightConnector1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44" name="AutoShape 36">
            <a:extLst>
              <a:ext uri="{FF2B5EF4-FFF2-40B4-BE49-F238E27FC236}">
                <a16:creationId xmlns:a16="http://schemas.microsoft.com/office/drawing/2014/main" id="{00000000-0008-0000-0600-000024440000}"/>
              </a:ext>
            </a:extLst>
          </xdr:cNvPr>
          <xdr:cNvCxnSpPr>
            <a:cxnSpLocks noChangeShapeType="1"/>
            <a:stCxn id="17439" idx="2"/>
          </xdr:cNvCxnSpPr>
        </xdr:nvCxnSpPr>
        <xdr:spPr bwMode="auto">
          <a:xfrm>
            <a:off x="493" y="310"/>
            <a:ext cx="0" cy="25"/>
          </a:xfrm>
          <a:prstGeom prst="straightConnector1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</xdr:col>
      <xdr:colOff>209550</xdr:colOff>
      <xdr:row>13</xdr:row>
      <xdr:rowOff>9525</xdr:rowOff>
    </xdr:from>
    <xdr:to>
      <xdr:col>3</xdr:col>
      <xdr:colOff>590550</xdr:colOff>
      <xdr:row>22</xdr:row>
      <xdr:rowOff>152400</xdr:rowOff>
    </xdr:to>
    <xdr:sp macro="" textlink="">
      <xdr:nvSpPr>
        <xdr:cNvPr id="17445" name="Text Box 37">
          <a:extLst>
            <a:ext uri="{FF2B5EF4-FFF2-40B4-BE49-F238E27FC236}">
              <a16:creationId xmlns:a16="http://schemas.microsoft.com/office/drawing/2014/main" id="{00000000-0008-0000-0600-000025440000}"/>
            </a:ext>
          </a:extLst>
        </xdr:cNvPr>
        <xdr:cNvSpPr txBox="1">
          <a:spLocks noChangeArrowheads="1"/>
        </xdr:cNvSpPr>
      </xdr:nvSpPr>
      <xdr:spPr bwMode="auto">
        <a:xfrm>
          <a:off x="523875" y="3400425"/>
          <a:ext cx="1600200" cy="21621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ECFF" mc:Ignorable="a14" a14:legacySpreadsheetColorIndex="41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08000" tIns="82800" rIns="18000" bIns="1080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If</a:t>
          </a:r>
          <a:r>
            <a:rPr lang="en-US" sz="1200" b="0" i="0" u="none" strike="noStrike" baseline="0">
              <a:solidFill>
                <a:srgbClr val="0000FF"/>
              </a:solidFill>
              <a:latin typeface="Arial"/>
              <a:cs typeface="Arial"/>
            </a:rPr>
            <a:t> </a:t>
          </a:r>
          <a:r>
            <a:rPr lang="en-US" sz="1200" b="0" i="1" u="none" strike="noStrike" baseline="0">
              <a:solidFill>
                <a:srgbClr val="000000"/>
              </a:solidFill>
              <a:latin typeface="Arial"/>
              <a:cs typeface="Arial"/>
            </a:rPr>
            <a:t>ting_1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Then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1" u="none" strike="noStrike" baseline="0">
              <a:solidFill>
                <a:srgbClr val="000000"/>
              </a:solidFill>
              <a:latin typeface="Arial"/>
              <a:cs typeface="Arial"/>
            </a:rPr>
            <a:t> laused_1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ElseIf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0" i="1" u="none" strike="noStrike" baseline="0">
              <a:solidFill>
                <a:srgbClr val="000000"/>
              </a:solidFill>
              <a:latin typeface="Arial"/>
              <a:cs typeface="Arial"/>
            </a:rPr>
            <a:t>ting_2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Then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1" u="none" strike="noStrike" baseline="0">
              <a:solidFill>
                <a:srgbClr val="000000"/>
              </a:solidFill>
              <a:latin typeface="Arial"/>
              <a:cs typeface="Arial"/>
            </a:rPr>
            <a:t>laused_2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...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ElseIf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0" i="1" u="none" strike="noStrike" baseline="0">
              <a:solidFill>
                <a:srgbClr val="000000"/>
              </a:solidFill>
              <a:latin typeface="Arial"/>
              <a:cs typeface="Arial"/>
            </a:rPr>
            <a:t>ting_n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Then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1" u="none" strike="noStrike" baseline="0">
              <a:solidFill>
                <a:srgbClr val="000000"/>
              </a:solidFill>
              <a:latin typeface="Arial"/>
              <a:cs typeface="Arial"/>
            </a:rPr>
            <a:t>laused_n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Else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1" u="none" strike="noStrike" baseline="0">
              <a:solidFill>
                <a:srgbClr val="000000"/>
              </a:solidFill>
              <a:latin typeface="Arial"/>
              <a:cs typeface="Arial"/>
            </a:rPr>
            <a:t>laused_E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End If</a:t>
          </a:r>
        </a:p>
      </xdr:txBody>
    </xdr:sp>
    <xdr:clientData/>
  </xdr:twoCellAnchor>
  <xdr:twoCellAnchor>
    <xdr:from>
      <xdr:col>4</xdr:col>
      <xdr:colOff>228600</xdr:colOff>
      <xdr:row>13</xdr:row>
      <xdr:rowOff>19050</xdr:rowOff>
    </xdr:from>
    <xdr:to>
      <xdr:col>12</xdr:col>
      <xdr:colOff>104775</xdr:colOff>
      <xdr:row>22</xdr:row>
      <xdr:rowOff>161925</xdr:rowOff>
    </xdr:to>
    <xdr:grpSp>
      <xdr:nvGrpSpPr>
        <xdr:cNvPr id="17446" name="Group 38">
          <a:extLst>
            <a:ext uri="{FF2B5EF4-FFF2-40B4-BE49-F238E27FC236}">
              <a16:creationId xmlns:a16="http://schemas.microsoft.com/office/drawing/2014/main" id="{00000000-0008-0000-0600-000026440000}"/>
            </a:ext>
          </a:extLst>
        </xdr:cNvPr>
        <xdr:cNvGrpSpPr>
          <a:grpSpLocks/>
        </xdr:cNvGrpSpPr>
      </xdr:nvGrpSpPr>
      <xdr:grpSpPr bwMode="auto">
        <a:xfrm>
          <a:off x="2316480" y="3371850"/>
          <a:ext cx="4150995" cy="2101215"/>
          <a:chOff x="273" y="715"/>
          <a:chExt cx="508" cy="273"/>
        </a:xfrm>
      </xdr:grpSpPr>
      <xdr:sp macro="" textlink="">
        <xdr:nvSpPr>
          <xdr:cNvPr id="17447" name="AutoShape 39">
            <a:extLst>
              <a:ext uri="{FF2B5EF4-FFF2-40B4-BE49-F238E27FC236}">
                <a16:creationId xmlns:a16="http://schemas.microsoft.com/office/drawing/2014/main" id="{00000000-0008-0000-0600-000027440000}"/>
              </a:ext>
            </a:extLst>
          </xdr:cNvPr>
          <xdr:cNvSpPr>
            <a:spLocks noChangeArrowheads="1"/>
          </xdr:cNvSpPr>
        </xdr:nvSpPr>
        <xdr:spPr bwMode="auto">
          <a:xfrm>
            <a:off x="413" y="735"/>
            <a:ext cx="34" cy="19"/>
          </a:xfrm>
          <a:prstGeom prst="flowChartDecision">
            <a:avLst/>
          </a:prstGeom>
          <a:solidFill>
            <a:srgbClr xmlns:mc="http://schemas.openxmlformats.org/markup-compatibility/2006" xmlns:a14="http://schemas.microsoft.com/office/drawing/2010/main" val="CCECFF" mc:Ignorable="a14" a14:legacySpreadsheetColorIndex="4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7448" name="Text Box 40">
            <a:extLst>
              <a:ext uri="{FF2B5EF4-FFF2-40B4-BE49-F238E27FC236}">
                <a16:creationId xmlns:a16="http://schemas.microsoft.com/office/drawing/2014/main" id="{00000000-0008-0000-0600-000028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4" y="720"/>
            <a:ext cx="55" cy="27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ting_1</a:t>
            </a:r>
          </a:p>
        </xdr:txBody>
      </xdr:sp>
      <xdr:sp macro="" textlink="">
        <xdr:nvSpPr>
          <xdr:cNvPr id="17449" name="AutoShape 41">
            <a:extLst>
              <a:ext uri="{FF2B5EF4-FFF2-40B4-BE49-F238E27FC236}">
                <a16:creationId xmlns:a16="http://schemas.microsoft.com/office/drawing/2014/main" id="{00000000-0008-0000-0600-000029440000}"/>
              </a:ext>
            </a:extLst>
          </xdr:cNvPr>
          <xdr:cNvSpPr>
            <a:spLocks noChangeArrowheads="1"/>
          </xdr:cNvSpPr>
        </xdr:nvSpPr>
        <xdr:spPr bwMode="auto">
          <a:xfrm>
            <a:off x="507" y="781"/>
            <a:ext cx="34" cy="19"/>
          </a:xfrm>
          <a:prstGeom prst="flowChartDecision">
            <a:avLst/>
          </a:prstGeom>
          <a:solidFill>
            <a:srgbClr xmlns:mc="http://schemas.openxmlformats.org/markup-compatibility/2006" xmlns:a14="http://schemas.microsoft.com/office/drawing/2010/main" val="CCECFF" mc:Ignorable="a14" a14:legacySpreadsheetColorIndex="4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7450" name="Text Box 42">
            <a:extLst>
              <a:ext uri="{FF2B5EF4-FFF2-40B4-BE49-F238E27FC236}">
                <a16:creationId xmlns:a16="http://schemas.microsoft.com/office/drawing/2014/main" id="{00000000-0008-0000-0600-00002A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7" y="744"/>
            <a:ext cx="5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sp macro="" textlink="">
        <xdr:nvSpPr>
          <xdr:cNvPr id="17451" name="AutoShape 43">
            <a:extLst>
              <a:ext uri="{FF2B5EF4-FFF2-40B4-BE49-F238E27FC236}">
                <a16:creationId xmlns:a16="http://schemas.microsoft.com/office/drawing/2014/main" id="{00000000-0008-0000-0600-00002B440000}"/>
              </a:ext>
            </a:extLst>
          </xdr:cNvPr>
          <xdr:cNvSpPr>
            <a:spLocks noChangeArrowheads="1"/>
          </xdr:cNvSpPr>
        </xdr:nvSpPr>
        <xdr:spPr bwMode="auto">
          <a:xfrm>
            <a:off x="273" y="781"/>
            <a:ext cx="121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laused_1</a:t>
            </a:r>
          </a:p>
        </xdr:txBody>
      </xdr:sp>
      <xdr:cxnSp macro="">
        <xdr:nvCxnSpPr>
          <xdr:cNvPr id="17452" name="AutoShape 44">
            <a:extLst>
              <a:ext uri="{FF2B5EF4-FFF2-40B4-BE49-F238E27FC236}">
                <a16:creationId xmlns:a16="http://schemas.microsoft.com/office/drawing/2014/main" id="{00000000-0008-0000-0600-00002C440000}"/>
              </a:ext>
            </a:extLst>
          </xdr:cNvPr>
          <xdr:cNvCxnSpPr>
            <a:cxnSpLocks noChangeShapeType="1"/>
            <a:endCxn id="17447" idx="0"/>
          </xdr:cNvCxnSpPr>
        </xdr:nvCxnSpPr>
        <xdr:spPr bwMode="auto">
          <a:xfrm>
            <a:off x="430" y="715"/>
            <a:ext cx="0" cy="2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53" name="AutoShape 45">
            <a:extLst>
              <a:ext uri="{FF2B5EF4-FFF2-40B4-BE49-F238E27FC236}">
                <a16:creationId xmlns:a16="http://schemas.microsoft.com/office/drawing/2014/main" id="{00000000-0008-0000-0600-00002D440000}"/>
              </a:ext>
            </a:extLst>
          </xdr:cNvPr>
          <xdr:cNvCxnSpPr>
            <a:cxnSpLocks noChangeShapeType="1"/>
            <a:stCxn id="17447" idx="3"/>
            <a:endCxn id="17449" idx="0"/>
          </xdr:cNvCxnSpPr>
        </xdr:nvCxnSpPr>
        <xdr:spPr bwMode="auto">
          <a:xfrm>
            <a:off x="447" y="745"/>
            <a:ext cx="77" cy="36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54" name="Text Box 46">
            <a:extLst>
              <a:ext uri="{FF2B5EF4-FFF2-40B4-BE49-F238E27FC236}">
                <a16:creationId xmlns:a16="http://schemas.microsoft.com/office/drawing/2014/main" id="{00000000-0008-0000-0600-00002E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765"/>
            <a:ext cx="61" cy="2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1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ting</a:t>
            </a:r>
            <a:r>
              <a:rPr lang="en-US" sz="14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_2</a:t>
            </a:r>
          </a:p>
        </xdr:txBody>
      </xdr:sp>
      <xdr:sp macro="" textlink="">
        <xdr:nvSpPr>
          <xdr:cNvPr id="17455" name="AutoShape 47">
            <a:extLst>
              <a:ext uri="{FF2B5EF4-FFF2-40B4-BE49-F238E27FC236}">
                <a16:creationId xmlns:a16="http://schemas.microsoft.com/office/drawing/2014/main" id="{00000000-0008-0000-0600-00002F440000}"/>
              </a:ext>
            </a:extLst>
          </xdr:cNvPr>
          <xdr:cNvSpPr>
            <a:spLocks noChangeArrowheads="1"/>
          </xdr:cNvSpPr>
        </xdr:nvSpPr>
        <xdr:spPr bwMode="auto">
          <a:xfrm>
            <a:off x="366" y="833"/>
            <a:ext cx="121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laused_2</a:t>
            </a:r>
          </a:p>
        </xdr:txBody>
      </xdr:sp>
      <xdr:sp macro="" textlink="">
        <xdr:nvSpPr>
          <xdr:cNvPr id="17456" name="Text Box 48">
            <a:extLst>
              <a:ext uri="{FF2B5EF4-FFF2-40B4-BE49-F238E27FC236}">
                <a16:creationId xmlns:a16="http://schemas.microsoft.com/office/drawing/2014/main" id="{00000000-0008-0000-0600-000030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3" y="721"/>
            <a:ext cx="40" cy="2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17457" name="AutoShape 49">
            <a:extLst>
              <a:ext uri="{FF2B5EF4-FFF2-40B4-BE49-F238E27FC236}">
                <a16:creationId xmlns:a16="http://schemas.microsoft.com/office/drawing/2014/main" id="{00000000-0008-0000-0600-000031440000}"/>
              </a:ext>
            </a:extLst>
          </xdr:cNvPr>
          <xdr:cNvSpPr>
            <a:spLocks noChangeArrowheads="1"/>
          </xdr:cNvSpPr>
        </xdr:nvSpPr>
        <xdr:spPr bwMode="auto">
          <a:xfrm>
            <a:off x="640" y="842"/>
            <a:ext cx="34" cy="19"/>
          </a:xfrm>
          <a:prstGeom prst="flowChartDecision">
            <a:avLst/>
          </a:prstGeom>
          <a:solidFill>
            <a:srgbClr xmlns:mc="http://schemas.openxmlformats.org/markup-compatibility/2006" xmlns:a14="http://schemas.microsoft.com/office/drawing/2010/main" val="CCECFF" mc:Ignorable="a14" a14:legacySpreadsheetColorIndex="4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cxnSp macro="">
        <xdr:nvCxnSpPr>
          <xdr:cNvPr id="17458" name="AutoShape 50">
            <a:extLst>
              <a:ext uri="{FF2B5EF4-FFF2-40B4-BE49-F238E27FC236}">
                <a16:creationId xmlns:a16="http://schemas.microsoft.com/office/drawing/2014/main" id="{00000000-0008-0000-0600-000032440000}"/>
              </a:ext>
            </a:extLst>
          </xdr:cNvPr>
          <xdr:cNvCxnSpPr>
            <a:cxnSpLocks noChangeShapeType="1"/>
            <a:stCxn id="17449" idx="3"/>
            <a:endCxn id="17457" idx="0"/>
          </xdr:cNvCxnSpPr>
        </xdr:nvCxnSpPr>
        <xdr:spPr bwMode="auto">
          <a:xfrm>
            <a:off x="541" y="791"/>
            <a:ext cx="116" cy="51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lgDash"/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59" name="AutoShape 51">
            <a:extLst>
              <a:ext uri="{FF2B5EF4-FFF2-40B4-BE49-F238E27FC236}">
                <a16:creationId xmlns:a16="http://schemas.microsoft.com/office/drawing/2014/main" id="{00000000-0008-0000-0600-000033440000}"/>
              </a:ext>
            </a:extLst>
          </xdr:cNvPr>
          <xdr:cNvSpPr>
            <a:spLocks noChangeArrowheads="1"/>
          </xdr:cNvSpPr>
        </xdr:nvSpPr>
        <xdr:spPr bwMode="auto">
          <a:xfrm>
            <a:off x="502" y="895"/>
            <a:ext cx="121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laused_n</a:t>
            </a:r>
          </a:p>
        </xdr:txBody>
      </xdr:sp>
      <xdr:sp macro="" textlink="">
        <xdr:nvSpPr>
          <xdr:cNvPr id="17460" name="Text Box 52">
            <a:extLst>
              <a:ext uri="{FF2B5EF4-FFF2-40B4-BE49-F238E27FC236}">
                <a16:creationId xmlns:a16="http://schemas.microsoft.com/office/drawing/2014/main" id="{00000000-0008-0000-0600-000034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46" y="768"/>
            <a:ext cx="41" cy="2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17461" name="AutoShape 53">
            <a:extLst>
              <a:ext uri="{FF2B5EF4-FFF2-40B4-BE49-F238E27FC236}">
                <a16:creationId xmlns:a16="http://schemas.microsoft.com/office/drawing/2014/main" id="{00000000-0008-0000-0600-000035440000}"/>
              </a:ext>
            </a:extLst>
          </xdr:cNvPr>
          <xdr:cNvSpPr>
            <a:spLocks noChangeArrowheads="1"/>
          </xdr:cNvSpPr>
        </xdr:nvSpPr>
        <xdr:spPr bwMode="auto">
          <a:xfrm>
            <a:off x="660" y="895"/>
            <a:ext cx="121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laused_E</a:t>
            </a:r>
          </a:p>
        </xdr:txBody>
      </xdr:sp>
      <xdr:cxnSp macro="">
        <xdr:nvCxnSpPr>
          <xdr:cNvPr id="17462" name="AutoShape 54">
            <a:extLst>
              <a:ext uri="{FF2B5EF4-FFF2-40B4-BE49-F238E27FC236}">
                <a16:creationId xmlns:a16="http://schemas.microsoft.com/office/drawing/2014/main" id="{00000000-0008-0000-0600-000036440000}"/>
              </a:ext>
            </a:extLst>
          </xdr:cNvPr>
          <xdr:cNvCxnSpPr>
            <a:cxnSpLocks noChangeShapeType="1"/>
            <a:stCxn id="17457" idx="3"/>
            <a:endCxn id="17461" idx="0"/>
          </xdr:cNvCxnSpPr>
        </xdr:nvCxnSpPr>
        <xdr:spPr bwMode="auto">
          <a:xfrm>
            <a:off x="674" y="852"/>
            <a:ext cx="47" cy="43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63" name="AutoShape 55">
            <a:extLst>
              <a:ext uri="{FF2B5EF4-FFF2-40B4-BE49-F238E27FC236}">
                <a16:creationId xmlns:a16="http://schemas.microsoft.com/office/drawing/2014/main" id="{00000000-0008-0000-0600-000037440000}"/>
              </a:ext>
            </a:extLst>
          </xdr:cNvPr>
          <xdr:cNvCxnSpPr>
            <a:cxnSpLocks noChangeShapeType="1"/>
            <a:stCxn id="17457" idx="1"/>
            <a:endCxn id="17459" idx="0"/>
          </xdr:cNvCxnSpPr>
        </xdr:nvCxnSpPr>
        <xdr:spPr bwMode="auto">
          <a:xfrm rot="10800000" flipV="1">
            <a:off x="563" y="852"/>
            <a:ext cx="77" cy="43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64" name="AutoShape 56">
            <a:extLst>
              <a:ext uri="{FF2B5EF4-FFF2-40B4-BE49-F238E27FC236}">
                <a16:creationId xmlns:a16="http://schemas.microsoft.com/office/drawing/2014/main" id="{00000000-0008-0000-0600-000038440000}"/>
              </a:ext>
            </a:extLst>
          </xdr:cNvPr>
          <xdr:cNvCxnSpPr>
            <a:cxnSpLocks noChangeShapeType="1"/>
            <a:stCxn id="17461" idx="2"/>
            <a:endCxn id="17465" idx="3"/>
          </xdr:cNvCxnSpPr>
        </xdr:nvCxnSpPr>
        <xdr:spPr bwMode="auto">
          <a:xfrm rot="5400000">
            <a:off x="569" y="808"/>
            <a:ext cx="27" cy="277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65" name="AutoShape 57">
            <a:extLst>
              <a:ext uri="{FF2B5EF4-FFF2-40B4-BE49-F238E27FC236}">
                <a16:creationId xmlns:a16="http://schemas.microsoft.com/office/drawing/2014/main" id="{00000000-0008-0000-0600-000039440000}"/>
              </a:ext>
            </a:extLst>
          </xdr:cNvPr>
          <xdr:cNvSpPr>
            <a:spLocks noChangeArrowheads="1"/>
          </xdr:cNvSpPr>
        </xdr:nvSpPr>
        <xdr:spPr bwMode="auto">
          <a:xfrm>
            <a:off x="410" y="950"/>
            <a:ext cx="34" cy="19"/>
          </a:xfrm>
          <a:prstGeom prst="flowChartDecision">
            <a:avLst/>
          </a:prstGeom>
          <a:solidFill>
            <a:srgbClr xmlns:mc="http://schemas.openxmlformats.org/markup-compatibility/2006" xmlns:a14="http://schemas.microsoft.com/office/drawing/2010/main" val="CCECFF" mc:Ignorable="a14" a14:legacySpreadsheetColorIndex="4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cxnSp macro="">
        <xdr:nvCxnSpPr>
          <xdr:cNvPr id="17466" name="AutoShape 58">
            <a:extLst>
              <a:ext uri="{FF2B5EF4-FFF2-40B4-BE49-F238E27FC236}">
                <a16:creationId xmlns:a16="http://schemas.microsoft.com/office/drawing/2014/main" id="{00000000-0008-0000-0600-00003A440000}"/>
              </a:ext>
            </a:extLst>
          </xdr:cNvPr>
          <xdr:cNvCxnSpPr>
            <a:cxnSpLocks noChangeShapeType="1"/>
            <a:stCxn id="17449" idx="1"/>
            <a:endCxn id="17455" idx="0"/>
          </xdr:cNvCxnSpPr>
        </xdr:nvCxnSpPr>
        <xdr:spPr bwMode="auto">
          <a:xfrm rot="10800000" flipV="1">
            <a:off x="427" y="791"/>
            <a:ext cx="80" cy="42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67" name="AutoShape 59">
            <a:extLst>
              <a:ext uri="{FF2B5EF4-FFF2-40B4-BE49-F238E27FC236}">
                <a16:creationId xmlns:a16="http://schemas.microsoft.com/office/drawing/2014/main" id="{00000000-0008-0000-0600-00003B440000}"/>
              </a:ext>
            </a:extLst>
          </xdr:cNvPr>
          <xdr:cNvCxnSpPr>
            <a:cxnSpLocks noChangeShapeType="1"/>
            <a:stCxn id="17447" idx="1"/>
            <a:endCxn id="17451" idx="0"/>
          </xdr:cNvCxnSpPr>
        </xdr:nvCxnSpPr>
        <xdr:spPr bwMode="auto">
          <a:xfrm rot="10800000" flipV="1">
            <a:off x="334" y="745"/>
            <a:ext cx="79" cy="36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68" name="AutoShape 60">
            <a:extLst>
              <a:ext uri="{FF2B5EF4-FFF2-40B4-BE49-F238E27FC236}">
                <a16:creationId xmlns:a16="http://schemas.microsoft.com/office/drawing/2014/main" id="{00000000-0008-0000-0600-00003C440000}"/>
              </a:ext>
            </a:extLst>
          </xdr:cNvPr>
          <xdr:cNvCxnSpPr>
            <a:cxnSpLocks noChangeShapeType="1"/>
            <a:stCxn id="17451" idx="2"/>
            <a:endCxn id="17465" idx="1"/>
          </xdr:cNvCxnSpPr>
        </xdr:nvCxnSpPr>
        <xdr:spPr bwMode="auto">
          <a:xfrm rot="16200000" flipH="1">
            <a:off x="301" y="852"/>
            <a:ext cx="141" cy="76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69" name="AutoShape 61">
            <a:extLst>
              <a:ext uri="{FF2B5EF4-FFF2-40B4-BE49-F238E27FC236}">
                <a16:creationId xmlns:a16="http://schemas.microsoft.com/office/drawing/2014/main" id="{00000000-0008-0000-0600-00003D440000}"/>
              </a:ext>
            </a:extLst>
          </xdr:cNvPr>
          <xdr:cNvCxnSpPr>
            <a:cxnSpLocks noChangeShapeType="1"/>
            <a:stCxn id="17455" idx="2"/>
            <a:endCxn id="17465" idx="0"/>
          </xdr:cNvCxnSpPr>
        </xdr:nvCxnSpPr>
        <xdr:spPr bwMode="auto">
          <a:xfrm>
            <a:off x="427" y="871"/>
            <a:ext cx="0" cy="79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70" name="AutoShape 62">
            <a:extLst>
              <a:ext uri="{FF2B5EF4-FFF2-40B4-BE49-F238E27FC236}">
                <a16:creationId xmlns:a16="http://schemas.microsoft.com/office/drawing/2014/main" id="{00000000-0008-0000-0600-00003E440000}"/>
              </a:ext>
            </a:extLst>
          </xdr:cNvPr>
          <xdr:cNvCxnSpPr>
            <a:cxnSpLocks noChangeShapeType="1"/>
            <a:stCxn id="17465" idx="2"/>
          </xdr:cNvCxnSpPr>
        </xdr:nvCxnSpPr>
        <xdr:spPr bwMode="auto">
          <a:xfrm>
            <a:off x="427" y="969"/>
            <a:ext cx="0" cy="19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71" name="Text Box 63">
            <a:extLst>
              <a:ext uri="{FF2B5EF4-FFF2-40B4-BE49-F238E27FC236}">
                <a16:creationId xmlns:a16="http://schemas.microsoft.com/office/drawing/2014/main" id="{00000000-0008-0000-0600-00003F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4" y="824"/>
            <a:ext cx="56" cy="2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ting_n</a:t>
            </a:r>
          </a:p>
        </xdr:txBody>
      </xdr:sp>
      <xdr:sp macro="" textlink="">
        <xdr:nvSpPr>
          <xdr:cNvPr id="17472" name="Text Box 64">
            <a:extLst>
              <a:ext uri="{FF2B5EF4-FFF2-40B4-BE49-F238E27FC236}">
                <a16:creationId xmlns:a16="http://schemas.microsoft.com/office/drawing/2014/main" id="{00000000-0008-0000-0600-000040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1" y="829"/>
            <a:ext cx="41" cy="2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17473" name="Text Box 65">
            <a:extLst>
              <a:ext uri="{FF2B5EF4-FFF2-40B4-BE49-F238E27FC236}">
                <a16:creationId xmlns:a16="http://schemas.microsoft.com/office/drawing/2014/main" id="{00000000-0008-0000-0600-000041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0" y="790"/>
            <a:ext cx="5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sp macro="" textlink="">
        <xdr:nvSpPr>
          <xdr:cNvPr id="17474" name="Text Box 66">
            <a:extLst>
              <a:ext uri="{FF2B5EF4-FFF2-40B4-BE49-F238E27FC236}">
                <a16:creationId xmlns:a16="http://schemas.microsoft.com/office/drawing/2014/main" id="{00000000-0008-0000-0600-000042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6" y="851"/>
            <a:ext cx="5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cxnSp macro="">
        <xdr:nvCxnSpPr>
          <xdr:cNvPr id="17475" name="AutoShape 67">
            <a:extLst>
              <a:ext uri="{FF2B5EF4-FFF2-40B4-BE49-F238E27FC236}">
                <a16:creationId xmlns:a16="http://schemas.microsoft.com/office/drawing/2014/main" id="{00000000-0008-0000-0600-000043440000}"/>
              </a:ext>
            </a:extLst>
          </xdr:cNvPr>
          <xdr:cNvCxnSpPr>
            <a:cxnSpLocks noChangeShapeType="1"/>
            <a:stCxn id="17459" idx="2"/>
            <a:endCxn id="17465" idx="0"/>
          </xdr:cNvCxnSpPr>
        </xdr:nvCxnSpPr>
        <xdr:spPr bwMode="auto">
          <a:xfrm rot="5400000">
            <a:off x="486" y="874"/>
            <a:ext cx="17" cy="136"/>
          </a:xfrm>
          <a:prstGeom prst="bentConnector3">
            <a:avLst>
              <a:gd name="adj1" fmla="val 90907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2</xdr:row>
      <xdr:rowOff>133350</xdr:rowOff>
    </xdr:from>
    <xdr:to>
      <xdr:col>1</xdr:col>
      <xdr:colOff>485775</xdr:colOff>
      <xdr:row>4</xdr:row>
      <xdr:rowOff>123825</xdr:rowOff>
    </xdr:to>
    <xdr:sp macro="" textlink="">
      <xdr:nvSpPr>
        <xdr:cNvPr id="16385" name="AutoShape 1">
          <a:extLst>
            <a:ext uri="{FF2B5EF4-FFF2-40B4-BE49-F238E27FC236}">
              <a16:creationId xmlns:a16="http://schemas.microsoft.com/office/drawing/2014/main" id="{00000000-0008-0000-0700-000001400000}"/>
            </a:ext>
          </a:extLst>
        </xdr:cNvPr>
        <xdr:cNvSpPr>
          <a:spLocks noChangeArrowheads="1"/>
        </xdr:cNvSpPr>
      </xdr:nvSpPr>
      <xdr:spPr bwMode="auto">
        <a:xfrm>
          <a:off x="257175" y="457200"/>
          <a:ext cx="838200" cy="314325"/>
        </a:xfrm>
        <a:prstGeom prst="roundRect">
          <a:avLst>
            <a:gd name="adj" fmla="val 24241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tegevus</a:t>
          </a:r>
        </a:p>
      </xdr:txBody>
    </xdr:sp>
    <xdr:clientData/>
  </xdr:twoCellAnchor>
  <xdr:twoCellAnchor>
    <xdr:from>
      <xdr:col>0</xdr:col>
      <xdr:colOff>333375</xdr:colOff>
      <xdr:row>0</xdr:row>
      <xdr:rowOff>57150</xdr:rowOff>
    </xdr:from>
    <xdr:to>
      <xdr:col>0</xdr:col>
      <xdr:colOff>476250</xdr:colOff>
      <xdr:row>1</xdr:row>
      <xdr:rowOff>38100</xdr:rowOff>
    </xdr:to>
    <xdr:sp macro="" textlink="">
      <xdr:nvSpPr>
        <xdr:cNvPr id="16386" name="Oval 2">
          <a:extLst>
            <a:ext uri="{FF2B5EF4-FFF2-40B4-BE49-F238E27FC236}">
              <a16:creationId xmlns:a16="http://schemas.microsoft.com/office/drawing/2014/main" id="{00000000-0008-0000-0700-000002400000}"/>
            </a:ext>
          </a:extLst>
        </xdr:cNvPr>
        <xdr:cNvSpPr>
          <a:spLocks noChangeArrowheads="1"/>
        </xdr:cNvSpPr>
      </xdr:nvSpPr>
      <xdr:spPr bwMode="auto">
        <a:xfrm>
          <a:off x="333375" y="57150"/>
          <a:ext cx="142875" cy="1428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238125</xdr:colOff>
      <xdr:row>0</xdr:row>
      <xdr:rowOff>47625</xdr:rowOff>
    </xdr:from>
    <xdr:to>
      <xdr:col>1</xdr:col>
      <xdr:colOff>381000</xdr:colOff>
      <xdr:row>1</xdr:row>
      <xdr:rowOff>28575</xdr:rowOff>
    </xdr:to>
    <xdr:grpSp>
      <xdr:nvGrpSpPr>
        <xdr:cNvPr id="16387" name="Group 3">
          <a:extLst>
            <a:ext uri="{FF2B5EF4-FFF2-40B4-BE49-F238E27FC236}">
              <a16:creationId xmlns:a16="http://schemas.microsoft.com/office/drawing/2014/main" id="{00000000-0008-0000-0700-000003400000}"/>
            </a:ext>
          </a:extLst>
        </xdr:cNvPr>
        <xdr:cNvGrpSpPr>
          <a:grpSpLocks/>
        </xdr:cNvGrpSpPr>
      </xdr:nvGrpSpPr>
      <xdr:grpSpPr bwMode="auto">
        <a:xfrm>
          <a:off x="830140" y="47625"/>
          <a:ext cx="142875" cy="150935"/>
          <a:chOff x="534" y="252"/>
          <a:chExt cx="24" cy="24"/>
        </a:xfrm>
      </xdr:grpSpPr>
      <xdr:sp macro="" textlink="">
        <xdr:nvSpPr>
          <xdr:cNvPr id="16388" name="Oval 4">
            <a:extLst>
              <a:ext uri="{FF2B5EF4-FFF2-40B4-BE49-F238E27FC236}">
                <a16:creationId xmlns:a16="http://schemas.microsoft.com/office/drawing/2014/main" id="{00000000-0008-0000-0700-000004400000}"/>
              </a:ext>
            </a:extLst>
          </xdr:cNvPr>
          <xdr:cNvSpPr>
            <a:spLocks noChangeArrowheads="1"/>
          </xdr:cNvSpPr>
        </xdr:nvSpPr>
        <xdr:spPr bwMode="auto">
          <a:xfrm>
            <a:off x="534" y="252"/>
            <a:ext cx="24" cy="24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16389" name="Oval 5">
            <a:extLst>
              <a:ext uri="{FF2B5EF4-FFF2-40B4-BE49-F238E27FC236}">
                <a16:creationId xmlns:a16="http://schemas.microsoft.com/office/drawing/2014/main" id="{00000000-0008-0000-0700-000005400000}"/>
              </a:ext>
            </a:extLst>
          </xdr:cNvPr>
          <xdr:cNvSpPr>
            <a:spLocks noChangeArrowheads="1"/>
          </xdr:cNvSpPr>
        </xdr:nvSpPr>
        <xdr:spPr bwMode="auto">
          <a:xfrm>
            <a:off x="539" y="256"/>
            <a:ext cx="15" cy="15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152400</xdr:colOff>
      <xdr:row>4</xdr:row>
      <xdr:rowOff>95250</xdr:rowOff>
    </xdr:from>
    <xdr:to>
      <xdr:col>3</xdr:col>
      <xdr:colOff>95250</xdr:colOff>
      <xdr:row>5</xdr:row>
      <xdr:rowOff>104775</xdr:rowOff>
    </xdr:to>
    <xdr:sp macro="" textlink="">
      <xdr:nvSpPr>
        <xdr:cNvPr id="16390" name="Text Box 6">
          <a:extLst>
            <a:ext uri="{FF2B5EF4-FFF2-40B4-BE49-F238E27FC236}">
              <a16:creationId xmlns:a16="http://schemas.microsoft.com/office/drawing/2014/main" id="{00000000-0008-0000-0700-000006400000}"/>
            </a:ext>
          </a:extLst>
        </xdr:cNvPr>
        <xdr:cNvSpPr txBox="1">
          <a:spLocks noChangeArrowheads="1"/>
        </xdr:cNvSpPr>
      </xdr:nvSpPr>
      <xdr:spPr bwMode="auto">
        <a:xfrm>
          <a:off x="1371600" y="742950"/>
          <a:ext cx="5524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[tingimus]</a:t>
          </a:r>
        </a:p>
      </xdr:txBody>
    </xdr:sp>
    <xdr:clientData/>
  </xdr:twoCellAnchor>
  <xdr:twoCellAnchor>
    <xdr:from>
      <xdr:col>2</xdr:col>
      <xdr:colOff>180975</xdr:colOff>
      <xdr:row>1</xdr:row>
      <xdr:rowOff>133350</xdr:rowOff>
    </xdr:from>
    <xdr:to>
      <xdr:col>2</xdr:col>
      <xdr:colOff>495300</xdr:colOff>
      <xdr:row>3</xdr:row>
      <xdr:rowOff>95250</xdr:rowOff>
    </xdr:to>
    <xdr:sp macro="" textlink="">
      <xdr:nvSpPr>
        <xdr:cNvPr id="16391" name="AutoShape 7">
          <a:extLst>
            <a:ext uri="{FF2B5EF4-FFF2-40B4-BE49-F238E27FC236}">
              <a16:creationId xmlns:a16="http://schemas.microsoft.com/office/drawing/2014/main" id="{00000000-0008-0000-0700-000007400000}"/>
            </a:ext>
          </a:extLst>
        </xdr:cNvPr>
        <xdr:cNvSpPr>
          <a:spLocks noChangeArrowheads="1"/>
        </xdr:cNvSpPr>
      </xdr:nvSpPr>
      <xdr:spPr bwMode="auto">
        <a:xfrm>
          <a:off x="1400175" y="295275"/>
          <a:ext cx="314325" cy="285750"/>
        </a:xfrm>
        <a:prstGeom prst="diamond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2</xdr:row>
      <xdr:rowOff>19050</xdr:rowOff>
    </xdr:from>
    <xdr:to>
      <xdr:col>3</xdr:col>
      <xdr:colOff>361950</xdr:colOff>
      <xdr:row>3</xdr:row>
      <xdr:rowOff>47625</xdr:rowOff>
    </xdr:to>
    <xdr:sp macro="" textlink="">
      <xdr:nvSpPr>
        <xdr:cNvPr id="16392" name="AutoShape 8">
          <a:extLst>
            <a:ext uri="{FF2B5EF4-FFF2-40B4-BE49-F238E27FC236}">
              <a16:creationId xmlns:a16="http://schemas.microsoft.com/office/drawing/2014/main" id="{00000000-0008-0000-0700-000008400000}"/>
            </a:ext>
          </a:extLst>
        </xdr:cNvPr>
        <xdr:cNvSpPr>
          <a:spLocks noChangeArrowheads="1"/>
        </xdr:cNvSpPr>
      </xdr:nvSpPr>
      <xdr:spPr bwMode="auto">
        <a:xfrm>
          <a:off x="1876425" y="342900"/>
          <a:ext cx="314325" cy="190500"/>
        </a:xfrm>
        <a:prstGeom prst="diamond">
          <a:avLst/>
        </a:prstGeom>
        <a:solidFill>
          <a:srgbClr xmlns:mc="http://schemas.openxmlformats.org/markup-compatibility/2006" xmlns:a14="http://schemas.microsoft.com/office/drawing/2010/main" val="CCEC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504825</xdr:colOff>
      <xdr:row>6</xdr:row>
      <xdr:rowOff>142875</xdr:rowOff>
    </xdr:from>
    <xdr:to>
      <xdr:col>2</xdr:col>
      <xdr:colOff>390525</xdr:colOff>
      <xdr:row>8</xdr:row>
      <xdr:rowOff>104775</xdr:rowOff>
    </xdr:to>
    <xdr:sp macro="" textlink="">
      <xdr:nvSpPr>
        <xdr:cNvPr id="16393" name="AutoShape 9">
          <a:extLst>
            <a:ext uri="{FF2B5EF4-FFF2-40B4-BE49-F238E27FC236}">
              <a16:creationId xmlns:a16="http://schemas.microsoft.com/office/drawing/2014/main" id="{00000000-0008-0000-0700-000009400000}"/>
            </a:ext>
          </a:extLst>
        </xdr:cNvPr>
        <xdr:cNvSpPr>
          <a:spLocks noChangeArrowheads="1"/>
        </xdr:cNvSpPr>
      </xdr:nvSpPr>
      <xdr:spPr bwMode="auto">
        <a:xfrm>
          <a:off x="504825" y="1114425"/>
          <a:ext cx="1104900" cy="285750"/>
        </a:xfrm>
        <a:prstGeom prst="foldedCorner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programm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image" Target="../media/image4.emf"/><Relationship Id="rId4" Type="http://schemas.openxmlformats.org/officeDocument/2006/relationships/oleObject" Target="../embeddings/oleObject2.bin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7:H26"/>
  <sheetViews>
    <sheetView showGridLines="0" tabSelected="1" workbookViewId="0">
      <selection activeCell="G19" sqref="G19"/>
    </sheetView>
  </sheetViews>
  <sheetFormatPr defaultColWidth="8.90625" defaultRowHeight="17.399999999999999" x14ac:dyDescent="0.3"/>
  <cols>
    <col min="1" max="1" width="5.54296875" style="2" customWidth="1"/>
    <col min="2" max="2" width="9.36328125" style="2" customWidth="1"/>
    <col min="3" max="3" width="5.08984375" style="2" customWidth="1"/>
    <col min="4" max="4" width="5.453125" style="2" customWidth="1"/>
    <col min="5" max="5" width="5" style="2" customWidth="1"/>
    <col min="6" max="16384" width="8.90625" style="2"/>
  </cols>
  <sheetData>
    <row r="7" spans="2:8" s="1" customFormat="1" ht="13.5" customHeight="1" x14ac:dyDescent="0.25"/>
    <row r="14" spans="2:8" ht="24" customHeight="1" x14ac:dyDescent="0.3">
      <c r="B14" s="3"/>
    </row>
    <row r="15" spans="2:8" ht="15" customHeight="1" x14ac:dyDescent="0.3">
      <c r="B15" s="3"/>
    </row>
    <row r="16" spans="2:8" ht="16.5" customHeight="1" x14ac:dyDescent="0.3">
      <c r="B16" s="3"/>
      <c r="H16" s="86" t="s">
        <v>52</v>
      </c>
    </row>
    <row r="17" spans="2:7" ht="18" customHeight="1" x14ac:dyDescent="0.3">
      <c r="B17" s="81" t="s">
        <v>16</v>
      </c>
      <c r="C17" s="81"/>
      <c r="D17" s="81"/>
      <c r="E17" s="81"/>
      <c r="F17" s="81"/>
      <c r="G17" s="81"/>
    </row>
    <row r="18" spans="2:7" ht="15" customHeight="1" x14ac:dyDescent="0.3">
      <c r="B18" s="82" t="s">
        <v>25</v>
      </c>
      <c r="C18" s="82" t="s">
        <v>26</v>
      </c>
      <c r="D18" s="82" t="s">
        <v>27</v>
      </c>
      <c r="E18" s="82" t="s">
        <v>28</v>
      </c>
      <c r="F18" s="82" t="s">
        <v>37</v>
      </c>
      <c r="G18" s="82" t="s">
        <v>38</v>
      </c>
    </row>
    <row r="19" spans="2:7" ht="15" customHeight="1" x14ac:dyDescent="0.3">
      <c r="B19" s="83" t="s">
        <v>29</v>
      </c>
      <c r="C19" s="84">
        <v>2</v>
      </c>
      <c r="D19" s="84">
        <v>6</v>
      </c>
      <c r="E19" s="84">
        <v>5</v>
      </c>
      <c r="F19" s="85">
        <f>s(C19,D19,E19)</f>
        <v>82.827625302982199</v>
      </c>
      <c r="G19" s="85">
        <f>V(D19,C19,E19)</f>
        <v>30</v>
      </c>
    </row>
    <row r="20" spans="2:7" ht="15" customHeight="1" x14ac:dyDescent="0.3">
      <c r="B20" s="83" t="s">
        <v>30</v>
      </c>
      <c r="C20" s="84">
        <v>3</v>
      </c>
      <c r="D20" s="84">
        <v>6</v>
      </c>
      <c r="E20" s="84">
        <v>6</v>
      </c>
      <c r="F20" s="85">
        <f t="shared" ref="F20:F26" si="0">s(C20,D20,E20)</f>
        <v>110.21590126111789</v>
      </c>
      <c r="G20" s="85">
        <f t="shared" ref="G20:G26" si="1">V(D20,C20,E20)</f>
        <v>54</v>
      </c>
    </row>
    <row r="21" spans="2:7" ht="15" customHeight="1" x14ac:dyDescent="0.3">
      <c r="B21" s="83" t="s">
        <v>31</v>
      </c>
      <c r="C21" s="84">
        <v>7</v>
      </c>
      <c r="D21" s="84">
        <v>12</v>
      </c>
      <c r="E21" s="84">
        <v>5</v>
      </c>
      <c r="F21" s="85">
        <f t="shared" si="0"/>
        <v>244</v>
      </c>
      <c r="G21" s="85">
        <f t="shared" si="1"/>
        <v>210</v>
      </c>
    </row>
    <row r="22" spans="2:7" ht="15" customHeight="1" x14ac:dyDescent="0.3">
      <c r="B22" s="83" t="s">
        <v>32</v>
      </c>
      <c r="C22" s="84">
        <v>23</v>
      </c>
      <c r="D22" s="84">
        <v>2</v>
      </c>
      <c r="E22" s="84">
        <v>2</v>
      </c>
      <c r="F22" s="85">
        <f t="shared" si="0"/>
        <v>138.690470119715</v>
      </c>
      <c r="G22" s="85">
        <f t="shared" si="1"/>
        <v>46</v>
      </c>
    </row>
    <row r="23" spans="2:7" ht="15" customHeight="1" x14ac:dyDescent="0.3">
      <c r="B23" s="83" t="s">
        <v>33</v>
      </c>
      <c r="C23" s="84">
        <v>7</v>
      </c>
      <c r="D23" s="84">
        <v>6</v>
      </c>
      <c r="E23" s="84">
        <v>5</v>
      </c>
      <c r="F23" s="85">
        <f t="shared" si="0"/>
        <v>146.46221994724903</v>
      </c>
      <c r="G23" s="85">
        <f t="shared" si="1"/>
        <v>105</v>
      </c>
    </row>
    <row r="24" spans="2:7" ht="15" customHeight="1" x14ac:dyDescent="0.3">
      <c r="B24" s="83" t="s">
        <v>34</v>
      </c>
      <c r="C24" s="84">
        <v>8</v>
      </c>
      <c r="D24" s="84">
        <v>3</v>
      </c>
      <c r="E24" s="84">
        <v>12</v>
      </c>
      <c r="F24" s="85">
        <f t="shared" si="0"/>
        <v>240</v>
      </c>
      <c r="G24" s="85">
        <f t="shared" si="1"/>
        <v>144</v>
      </c>
    </row>
    <row r="25" spans="2:7" ht="15" customHeight="1" x14ac:dyDescent="0.3">
      <c r="B25" s="83" t="s">
        <v>35</v>
      </c>
      <c r="C25" s="84">
        <v>2</v>
      </c>
      <c r="D25" s="84">
        <v>5</v>
      </c>
      <c r="E25" s="84">
        <v>9</v>
      </c>
      <c r="F25" s="85">
        <f t="shared" si="0"/>
        <v>119.78235124467012</v>
      </c>
      <c r="G25" s="85">
        <f t="shared" si="1"/>
        <v>45</v>
      </c>
    </row>
    <row r="26" spans="2:7" ht="15" customHeight="1" x14ac:dyDescent="0.3">
      <c r="B26" s="83" t="s">
        <v>36</v>
      </c>
      <c r="C26" s="84">
        <v>5</v>
      </c>
      <c r="D26" s="84">
        <v>4</v>
      </c>
      <c r="E26" s="84">
        <v>7</v>
      </c>
      <c r="F26" s="85">
        <f t="shared" si="0"/>
        <v>121.03786792439622</v>
      </c>
      <c r="G26" s="85">
        <f t="shared" si="1"/>
        <v>70</v>
      </c>
    </row>
  </sheetData>
  <phoneticPr fontId="0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1025" r:id="rId4">
          <objectPr defaultSize="0" autoPict="0" r:id="rId5">
            <anchor moveWithCells="1" sizeWithCells="1">
              <from>
                <xdr:col>4</xdr:col>
                <xdr:colOff>106680</xdr:colOff>
                <xdr:row>7</xdr:row>
                <xdr:rowOff>114300</xdr:rowOff>
              </from>
              <to>
                <xdr:col>7</xdr:col>
                <xdr:colOff>556260</xdr:colOff>
                <xdr:row>11</xdr:row>
                <xdr:rowOff>76200</xdr:rowOff>
              </to>
            </anchor>
          </objectPr>
        </oleObject>
      </mc:Choice>
      <mc:Fallback>
        <oleObject progId="Equation.3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6" name="Button 2">
              <controlPr defaultSize="0" print="0" autoFill="0" autoPict="0" macro="[0]!detail">
                <anchor moveWithCells="1" sizeWithCells="1">
                  <from>
                    <xdr:col>13</xdr:col>
                    <xdr:colOff>0</xdr:colOff>
                    <xdr:row>3</xdr:row>
                    <xdr:rowOff>7620</xdr:rowOff>
                  </from>
                  <to>
                    <xdr:col>16</xdr:col>
                    <xdr:colOff>251460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7" name="Button 3">
              <controlPr defaultSize="0" print="0" autoFill="0" autoPict="0" macro="[0]!clear_detail">
                <anchor moveWithCells="1" sizeWithCells="1">
                  <from>
                    <xdr:col>13</xdr:col>
                    <xdr:colOff>83820</xdr:colOff>
                    <xdr:row>8</xdr:row>
                    <xdr:rowOff>160020</xdr:rowOff>
                  </from>
                  <to>
                    <xdr:col>16</xdr:col>
                    <xdr:colOff>678180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8" name="Button 5">
              <controlPr defaultSize="0" print="0" autoFill="0" autoPict="0" macro="[0]!detail_diag">
                <anchor moveWithCells="1" sizeWithCells="1">
                  <from>
                    <xdr:col>18</xdr:col>
                    <xdr:colOff>76200</xdr:colOff>
                    <xdr:row>5</xdr:row>
                    <xdr:rowOff>60960</xdr:rowOff>
                  </from>
                  <to>
                    <xdr:col>20</xdr:col>
                    <xdr:colOff>716280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5AC87-3AB8-4E70-BFD4-2A5CDE908EEB}">
  <dimension ref="A1:A6"/>
  <sheetViews>
    <sheetView workbookViewId="0">
      <selection activeCell="B6" sqref="B6"/>
    </sheetView>
  </sheetViews>
  <sheetFormatPr defaultRowHeight="15" x14ac:dyDescent="0.25"/>
  <sheetData>
    <row r="1" spans="1:1" x14ac:dyDescent="0.25">
      <c r="A1" s="60" t="s">
        <v>79</v>
      </c>
    </row>
    <row r="2" spans="1:1" x14ac:dyDescent="0.25">
      <c r="A2">
        <v>1</v>
      </c>
    </row>
    <row r="3" spans="1:1" x14ac:dyDescent="0.25">
      <c r="A3">
        <v>2</v>
      </c>
    </row>
    <row r="4" spans="1:1" x14ac:dyDescent="0.25">
      <c r="A4">
        <v>3</v>
      </c>
    </row>
    <row r="5" spans="1:1" x14ac:dyDescent="0.25">
      <c r="A5">
        <v>4</v>
      </c>
    </row>
    <row r="6" spans="1:1" x14ac:dyDescent="0.25">
      <c r="A6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upp_kustuta">
                <anchor moveWithCells="1">
                  <from>
                    <xdr:col>6</xdr:col>
                    <xdr:colOff>45720</xdr:colOff>
                    <xdr:row>5</xdr:row>
                    <xdr:rowOff>152400</xdr:rowOff>
                  </from>
                  <to>
                    <xdr:col>6</xdr:col>
                    <xdr:colOff>556260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J51"/>
  <sheetViews>
    <sheetView workbookViewId="0">
      <selection activeCell="C51" sqref="B10:C51"/>
    </sheetView>
  </sheetViews>
  <sheetFormatPr defaultColWidth="8.90625" defaultRowHeight="13.2" x14ac:dyDescent="0.25"/>
  <cols>
    <col min="1" max="1" width="7.54296875" style="13" customWidth="1"/>
    <col min="2" max="2" width="11.1796875" style="13" customWidth="1"/>
    <col min="3" max="16384" width="8.90625" style="13"/>
  </cols>
  <sheetData>
    <row r="2" spans="1:10" ht="15.6" x14ac:dyDescent="0.25">
      <c r="H2" s="21" t="s">
        <v>46</v>
      </c>
      <c r="I2" s="11" t="s">
        <v>47</v>
      </c>
      <c r="J2" s="12"/>
    </row>
    <row r="3" spans="1:10" x14ac:dyDescent="0.25">
      <c r="H3" s="14"/>
      <c r="I3" s="15"/>
      <c r="J3" s="16"/>
    </row>
    <row r="4" spans="1:10" ht="14.25" customHeight="1" x14ac:dyDescent="0.25">
      <c r="H4" s="92" t="s">
        <v>45</v>
      </c>
      <c r="I4" s="15" t="s">
        <v>51</v>
      </c>
      <c r="J4" s="16" t="s">
        <v>48</v>
      </c>
    </row>
    <row r="5" spans="1:10" x14ac:dyDescent="0.25">
      <c r="H5" s="92"/>
      <c r="I5" s="15" t="s">
        <v>50</v>
      </c>
      <c r="J5" s="16" t="s">
        <v>49</v>
      </c>
    </row>
    <row r="6" spans="1:10" x14ac:dyDescent="0.25">
      <c r="H6" s="17"/>
      <c r="I6" s="18"/>
      <c r="J6" s="19"/>
    </row>
    <row r="8" spans="1:10" x14ac:dyDescent="0.25">
      <c r="A8" s="22" t="s">
        <v>43</v>
      </c>
      <c r="B8" s="26">
        <v>-4</v>
      </c>
      <c r="C8" s="22" t="s">
        <v>44</v>
      </c>
      <c r="D8" s="26">
        <v>0.5</v>
      </c>
    </row>
    <row r="10" spans="1:10" x14ac:dyDescent="0.25">
      <c r="A10" s="20" t="s">
        <v>40</v>
      </c>
      <c r="B10" s="20" t="s">
        <v>41</v>
      </c>
      <c r="C10" s="20" t="s">
        <v>42</v>
      </c>
    </row>
    <row r="11" spans="1:10" x14ac:dyDescent="0.25">
      <c r="A11" s="90">
        <f>B8</f>
        <v>-4</v>
      </c>
      <c r="B11" s="91">
        <f>ROUND(F_1(A11), 2)</f>
        <v>0.11</v>
      </c>
      <c r="C11" s="90">
        <f>F_2(A11)</f>
        <v>-64</v>
      </c>
    </row>
    <row r="12" spans="1:10" x14ac:dyDescent="0.25">
      <c r="A12" s="90">
        <f>A11+D$8</f>
        <v>-3.5</v>
      </c>
      <c r="B12" s="91">
        <f t="shared" ref="B12:B51" si="0">ROUND(F_1(A12), 2)</f>
        <v>0.02</v>
      </c>
      <c r="C12" s="90">
        <f t="shared" ref="C12:C51" si="1">F_2(A12)</f>
        <v>-42.875</v>
      </c>
    </row>
    <row r="13" spans="1:10" x14ac:dyDescent="0.25">
      <c r="A13" s="90">
        <f t="shared" ref="A13:A51" si="2">A12+D$8</f>
        <v>-3</v>
      </c>
      <c r="B13" s="91">
        <f t="shared" si="0"/>
        <v>0</v>
      </c>
      <c r="C13" s="90">
        <f t="shared" si="1"/>
        <v>-27</v>
      </c>
    </row>
    <row r="14" spans="1:10" x14ac:dyDescent="0.25">
      <c r="A14" s="90">
        <f t="shared" si="2"/>
        <v>-2.5</v>
      </c>
      <c r="B14" s="91">
        <f t="shared" si="0"/>
        <v>7.0000000000000007E-2</v>
      </c>
      <c r="C14" s="90">
        <f t="shared" si="1"/>
        <v>-15.625</v>
      </c>
    </row>
    <row r="15" spans="1:10" x14ac:dyDescent="0.25">
      <c r="A15" s="90">
        <f t="shared" si="2"/>
        <v>-2</v>
      </c>
      <c r="B15" s="91">
        <f t="shared" si="0"/>
        <v>0.17</v>
      </c>
      <c r="C15" s="90">
        <f t="shared" si="1"/>
        <v>-8</v>
      </c>
    </row>
    <row r="16" spans="1:10" x14ac:dyDescent="0.25">
      <c r="A16" s="90">
        <f t="shared" si="2"/>
        <v>-1.5</v>
      </c>
      <c r="B16" s="91">
        <f t="shared" si="0"/>
        <v>0.2</v>
      </c>
      <c r="C16" s="90">
        <f t="shared" si="1"/>
        <v>-3.375</v>
      </c>
    </row>
    <row r="17" spans="1:3" x14ac:dyDescent="0.25">
      <c r="A17" s="90">
        <f t="shared" si="2"/>
        <v>-1</v>
      </c>
      <c r="B17" s="91">
        <f t="shared" si="0"/>
        <v>0.14000000000000001</v>
      </c>
      <c r="C17" s="90">
        <f t="shared" si="1"/>
        <v>-1</v>
      </c>
    </row>
    <row r="18" spans="1:3" x14ac:dyDescent="0.25">
      <c r="A18" s="90">
        <f t="shared" si="2"/>
        <v>-0.5</v>
      </c>
      <c r="B18" s="91">
        <f t="shared" si="0"/>
        <v>0.05</v>
      </c>
      <c r="C18" s="90">
        <f t="shared" si="1"/>
        <v>-0.125</v>
      </c>
    </row>
    <row r="19" spans="1:3" x14ac:dyDescent="0.25">
      <c r="A19" s="90">
        <f t="shared" si="2"/>
        <v>0</v>
      </c>
      <c r="B19" s="91">
        <f t="shared" si="0"/>
        <v>0</v>
      </c>
      <c r="C19" s="90">
        <f t="shared" si="1"/>
        <v>0</v>
      </c>
    </row>
    <row r="20" spans="1:3" x14ac:dyDescent="0.25">
      <c r="A20" s="90">
        <f t="shared" si="2"/>
        <v>0.5</v>
      </c>
      <c r="B20" s="91">
        <f t="shared" si="0"/>
        <v>0.05</v>
      </c>
      <c r="C20" s="90">
        <f t="shared" si="1"/>
        <v>0.125</v>
      </c>
    </row>
    <row r="21" spans="1:3" x14ac:dyDescent="0.25">
      <c r="A21" s="90">
        <f t="shared" si="2"/>
        <v>1</v>
      </c>
      <c r="B21" s="91">
        <f t="shared" si="0"/>
        <v>0.14000000000000001</v>
      </c>
      <c r="C21" s="90">
        <f t="shared" si="1"/>
        <v>0</v>
      </c>
    </row>
    <row r="22" spans="1:3" x14ac:dyDescent="0.25">
      <c r="A22" s="90">
        <f t="shared" si="2"/>
        <v>1.5</v>
      </c>
      <c r="B22" s="91">
        <f t="shared" si="0"/>
        <v>0.2</v>
      </c>
      <c r="C22" s="90">
        <f t="shared" si="1"/>
        <v>0.40546510810816438</v>
      </c>
    </row>
    <row r="23" spans="1:3" x14ac:dyDescent="0.25">
      <c r="A23" s="90">
        <f t="shared" si="2"/>
        <v>2</v>
      </c>
      <c r="B23" s="91">
        <f t="shared" si="0"/>
        <v>0.17</v>
      </c>
      <c r="C23" s="90">
        <f t="shared" si="1"/>
        <v>0.69314718055994529</v>
      </c>
    </row>
    <row r="24" spans="1:3" x14ac:dyDescent="0.25">
      <c r="A24" s="90">
        <f t="shared" si="2"/>
        <v>2.5</v>
      </c>
      <c r="B24" s="91">
        <f t="shared" si="0"/>
        <v>7.0000000000000007E-2</v>
      </c>
      <c r="C24" s="90">
        <f t="shared" si="1"/>
        <v>0.91629073187415511</v>
      </c>
    </row>
    <row r="25" spans="1:3" x14ac:dyDescent="0.25">
      <c r="A25" s="90">
        <f t="shared" si="2"/>
        <v>3</v>
      </c>
      <c r="B25" s="91">
        <f t="shared" si="0"/>
        <v>0</v>
      </c>
      <c r="C25" s="90">
        <f t="shared" si="1"/>
        <v>1.0986122886681098</v>
      </c>
    </row>
    <row r="26" spans="1:3" x14ac:dyDescent="0.25">
      <c r="A26" s="90">
        <f t="shared" si="2"/>
        <v>3.5</v>
      </c>
      <c r="B26" s="91">
        <f t="shared" si="0"/>
        <v>0.02</v>
      </c>
      <c r="C26" s="90">
        <f t="shared" si="1"/>
        <v>1.2527629684953681</v>
      </c>
    </row>
    <row r="27" spans="1:3" x14ac:dyDescent="0.25">
      <c r="A27" s="90">
        <f t="shared" si="2"/>
        <v>4</v>
      </c>
      <c r="B27" s="91">
        <f t="shared" si="0"/>
        <v>0.11</v>
      </c>
      <c r="C27" s="90">
        <f t="shared" si="1"/>
        <v>1.3862943611198906</v>
      </c>
    </row>
    <row r="28" spans="1:3" x14ac:dyDescent="0.25">
      <c r="A28" s="90">
        <f t="shared" si="2"/>
        <v>4.5</v>
      </c>
      <c r="B28" s="91">
        <f t="shared" si="0"/>
        <v>0.19</v>
      </c>
      <c r="C28" s="90">
        <f t="shared" si="1"/>
        <v>1.5040773967762742</v>
      </c>
    </row>
    <row r="29" spans="1:3" x14ac:dyDescent="0.25">
      <c r="A29" s="90">
        <f t="shared" si="2"/>
        <v>5</v>
      </c>
      <c r="B29" s="91">
        <f t="shared" si="0"/>
        <v>0.18</v>
      </c>
      <c r="C29" s="90">
        <f t="shared" si="1"/>
        <v>1.6094379124341003</v>
      </c>
    </row>
    <row r="30" spans="1:3" x14ac:dyDescent="0.25">
      <c r="A30" s="90">
        <f t="shared" si="2"/>
        <v>5.5</v>
      </c>
      <c r="B30" s="91">
        <f t="shared" si="0"/>
        <v>0.1</v>
      </c>
      <c r="C30" s="90">
        <f t="shared" si="1"/>
        <v>1.7047480922384253</v>
      </c>
    </row>
    <row r="31" spans="1:3" x14ac:dyDescent="0.25">
      <c r="A31" s="90">
        <f t="shared" si="2"/>
        <v>6</v>
      </c>
      <c r="B31" s="91">
        <f t="shared" si="0"/>
        <v>0.02</v>
      </c>
      <c r="C31" s="90">
        <f t="shared" si="1"/>
        <v>1.791759469228055</v>
      </c>
    </row>
    <row r="32" spans="1:3" x14ac:dyDescent="0.25">
      <c r="A32" s="90">
        <f t="shared" si="2"/>
        <v>6.5</v>
      </c>
      <c r="B32" s="91">
        <f t="shared" si="0"/>
        <v>0.01</v>
      </c>
      <c r="C32" s="90">
        <f t="shared" si="1"/>
        <v>1.8718021769015913</v>
      </c>
    </row>
    <row r="33" spans="1:3" x14ac:dyDescent="0.25">
      <c r="A33" s="90">
        <f t="shared" si="2"/>
        <v>7</v>
      </c>
      <c r="B33" s="91">
        <f t="shared" si="0"/>
        <v>0.09</v>
      </c>
      <c r="C33" s="90">
        <f t="shared" si="1"/>
        <v>1.9459101490553132</v>
      </c>
    </row>
    <row r="34" spans="1:3" x14ac:dyDescent="0.25">
      <c r="A34" s="90">
        <f t="shared" si="2"/>
        <v>7.5</v>
      </c>
      <c r="B34" s="91">
        <f t="shared" si="0"/>
        <v>0.18</v>
      </c>
      <c r="C34" s="90">
        <f t="shared" si="1"/>
        <v>2.0149030205422647</v>
      </c>
    </row>
    <row r="35" spans="1:3" x14ac:dyDescent="0.25">
      <c r="A35" s="90">
        <f t="shared" si="2"/>
        <v>8</v>
      </c>
      <c r="B35" s="91">
        <f t="shared" si="0"/>
        <v>0.2</v>
      </c>
      <c r="C35" s="90">
        <f t="shared" si="1"/>
        <v>2.0794415416798357</v>
      </c>
    </row>
    <row r="36" spans="1:3" x14ac:dyDescent="0.25">
      <c r="A36" s="90">
        <f t="shared" si="2"/>
        <v>8.5</v>
      </c>
      <c r="B36" s="91">
        <f t="shared" si="0"/>
        <v>0.13</v>
      </c>
      <c r="C36" s="90">
        <f t="shared" si="1"/>
        <v>2.1400661634962708</v>
      </c>
    </row>
    <row r="37" spans="1:3" x14ac:dyDescent="0.25">
      <c r="A37" s="90">
        <f t="shared" si="2"/>
        <v>9</v>
      </c>
      <c r="B37" s="91">
        <f t="shared" si="0"/>
        <v>0.03</v>
      </c>
      <c r="C37" s="90">
        <f t="shared" si="1"/>
        <v>2.1972245773362196</v>
      </c>
    </row>
    <row r="38" spans="1:3" x14ac:dyDescent="0.25">
      <c r="A38" s="90">
        <f t="shared" si="2"/>
        <v>9.5</v>
      </c>
      <c r="B38" s="91">
        <f t="shared" si="0"/>
        <v>0</v>
      </c>
      <c r="C38" s="90">
        <f t="shared" si="1"/>
        <v>2.2512917986064953</v>
      </c>
    </row>
    <row r="39" spans="1:3" x14ac:dyDescent="0.25">
      <c r="A39" s="90">
        <f t="shared" si="2"/>
        <v>10</v>
      </c>
      <c r="B39" s="91">
        <f t="shared" si="0"/>
        <v>0.06</v>
      </c>
      <c r="C39" s="90">
        <f t="shared" si="1"/>
        <v>2.3025850929940459</v>
      </c>
    </row>
    <row r="40" spans="1:3" x14ac:dyDescent="0.25">
      <c r="A40" s="90">
        <f t="shared" si="2"/>
        <v>10.5</v>
      </c>
      <c r="B40" s="91">
        <f t="shared" si="0"/>
        <v>0.15</v>
      </c>
      <c r="C40" s="90">
        <f t="shared" si="1"/>
        <v>2.3513752571634776</v>
      </c>
    </row>
    <row r="41" spans="1:3" x14ac:dyDescent="0.25">
      <c r="A41" s="90">
        <f t="shared" si="2"/>
        <v>11</v>
      </c>
      <c r="B41" s="91">
        <f t="shared" si="0"/>
        <v>0.2</v>
      </c>
      <c r="C41" s="90">
        <f t="shared" si="1"/>
        <v>2.3978952727983707</v>
      </c>
    </row>
    <row r="42" spans="1:3" x14ac:dyDescent="0.25">
      <c r="A42" s="90">
        <f t="shared" si="2"/>
        <v>11.5</v>
      </c>
      <c r="B42" s="91">
        <f t="shared" si="0"/>
        <v>0.15</v>
      </c>
      <c r="C42" s="90">
        <f t="shared" si="1"/>
        <v>2.4423470353692043</v>
      </c>
    </row>
    <row r="43" spans="1:3" x14ac:dyDescent="0.25">
      <c r="A43" s="90">
        <f t="shared" si="2"/>
        <v>12</v>
      </c>
      <c r="B43" s="91">
        <f t="shared" si="0"/>
        <v>0.06</v>
      </c>
      <c r="C43" s="90">
        <f t="shared" si="1"/>
        <v>2.4849066497880004</v>
      </c>
    </row>
    <row r="44" spans="1:3" x14ac:dyDescent="0.25">
      <c r="A44" s="90">
        <f t="shared" si="2"/>
        <v>12.5</v>
      </c>
      <c r="B44" s="91">
        <f t="shared" si="0"/>
        <v>0</v>
      </c>
      <c r="C44" s="90">
        <f t="shared" si="1"/>
        <v>2.5257286443082556</v>
      </c>
    </row>
    <row r="45" spans="1:3" x14ac:dyDescent="0.25">
      <c r="A45" s="90">
        <f t="shared" si="2"/>
        <v>13</v>
      </c>
      <c r="B45" s="91">
        <f t="shared" si="0"/>
        <v>0.04</v>
      </c>
      <c r="C45" s="90">
        <f t="shared" si="1"/>
        <v>2.5649493574615367</v>
      </c>
    </row>
    <row r="46" spans="1:3" x14ac:dyDescent="0.25">
      <c r="A46" s="90">
        <f t="shared" si="2"/>
        <v>13.5</v>
      </c>
      <c r="B46" s="91">
        <f t="shared" si="0"/>
        <v>0.13</v>
      </c>
      <c r="C46" s="90">
        <f t="shared" si="1"/>
        <v>2.6026896854443837</v>
      </c>
    </row>
    <row r="47" spans="1:3" x14ac:dyDescent="0.25">
      <c r="A47" s="90">
        <f t="shared" si="2"/>
        <v>14</v>
      </c>
      <c r="B47" s="91">
        <f t="shared" si="0"/>
        <v>0.2</v>
      </c>
      <c r="C47" s="90">
        <f t="shared" si="1"/>
        <v>2.6390573296152584</v>
      </c>
    </row>
    <row r="48" spans="1:3" x14ac:dyDescent="0.25">
      <c r="A48" s="90">
        <f t="shared" si="2"/>
        <v>14.5</v>
      </c>
      <c r="B48" s="91">
        <f t="shared" si="0"/>
        <v>0.17</v>
      </c>
      <c r="C48" s="90">
        <f t="shared" si="1"/>
        <v>2.6741486494265287</v>
      </c>
    </row>
    <row r="49" spans="1:3" x14ac:dyDescent="0.25">
      <c r="A49" s="90">
        <f t="shared" si="2"/>
        <v>15</v>
      </c>
      <c r="B49" s="91">
        <f t="shared" si="0"/>
        <v>0.08</v>
      </c>
      <c r="C49" s="90">
        <f t="shared" si="1"/>
        <v>2.7080502011022101</v>
      </c>
    </row>
    <row r="50" spans="1:3" x14ac:dyDescent="0.25">
      <c r="A50" s="90">
        <f t="shared" si="2"/>
        <v>15.5</v>
      </c>
      <c r="B50" s="91">
        <f t="shared" si="0"/>
        <v>0.01</v>
      </c>
      <c r="C50" s="90">
        <f t="shared" si="1"/>
        <v>2.7408400239252009</v>
      </c>
    </row>
    <row r="51" spans="1:3" x14ac:dyDescent="0.25">
      <c r="A51" s="90">
        <f t="shared" si="2"/>
        <v>16</v>
      </c>
      <c r="B51" s="91">
        <f t="shared" si="0"/>
        <v>0.02</v>
      </c>
      <c r="C51" s="90">
        <f t="shared" si="1"/>
        <v>2.7725887222397811</v>
      </c>
    </row>
  </sheetData>
  <mergeCells count="1">
    <mergeCell ref="H4:H5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unktsioon">
                <anchor moveWithCells="1" sizeWithCells="1">
                  <from>
                    <xdr:col>5</xdr:col>
                    <xdr:colOff>480060</xdr:colOff>
                    <xdr:row>35</xdr:row>
                    <xdr:rowOff>114300</xdr:rowOff>
                  </from>
                  <to>
                    <xdr:col>8</xdr:col>
                    <xdr:colOff>411480</xdr:colOff>
                    <xdr:row>40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funkt">
                <anchor moveWithCells="1" sizeWithCells="1">
                  <from>
                    <xdr:col>5</xdr:col>
                    <xdr:colOff>480060</xdr:colOff>
                    <xdr:row>42</xdr:row>
                    <xdr:rowOff>68580</xdr:rowOff>
                  </from>
                  <to>
                    <xdr:col>8</xdr:col>
                    <xdr:colOff>457200</xdr:colOff>
                    <xdr:row>47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funk_diag">
                <anchor moveWithCells="1" sizeWithCells="1">
                  <from>
                    <xdr:col>10</xdr:col>
                    <xdr:colOff>182880</xdr:colOff>
                    <xdr:row>35</xdr:row>
                    <xdr:rowOff>99060</xdr:rowOff>
                  </from>
                  <to>
                    <xdr:col>13</xdr:col>
                    <xdr:colOff>289560</xdr:colOff>
                    <xdr:row>41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E52"/>
  <sheetViews>
    <sheetView showGridLines="0" workbookViewId="0">
      <selection activeCell="M6" sqref="M6"/>
    </sheetView>
  </sheetViews>
  <sheetFormatPr defaultColWidth="8.90625" defaultRowHeight="13.2" x14ac:dyDescent="0.25"/>
  <cols>
    <col min="1" max="1" width="2.08984375" style="13" customWidth="1"/>
    <col min="2" max="2" width="7.54296875" style="13" customWidth="1"/>
    <col min="3" max="16384" width="8.90625" style="13"/>
  </cols>
  <sheetData>
    <row r="2" spans="2:5" x14ac:dyDescent="0.25">
      <c r="B2" s="24"/>
    </row>
    <row r="4" spans="2:5" x14ac:dyDescent="0.25">
      <c r="B4" s="93"/>
    </row>
    <row r="5" spans="2:5" x14ac:dyDescent="0.25">
      <c r="B5" s="93"/>
    </row>
    <row r="9" spans="2:5" x14ac:dyDescent="0.25">
      <c r="B9" s="22"/>
      <c r="C9" s="22"/>
      <c r="D9" s="22"/>
      <c r="E9" s="22"/>
    </row>
    <row r="11" spans="2:5" x14ac:dyDescent="0.25">
      <c r="B11" s="22"/>
      <c r="C11" s="22"/>
      <c r="D11" s="22"/>
    </row>
    <row r="12" spans="2:5" x14ac:dyDescent="0.25">
      <c r="B12" s="25"/>
      <c r="C12" s="25"/>
      <c r="D12" s="25"/>
    </row>
    <row r="13" spans="2:5" x14ac:dyDescent="0.25">
      <c r="B13" s="25"/>
      <c r="C13" s="25"/>
      <c r="D13" s="25"/>
    </row>
    <row r="14" spans="2:5" x14ac:dyDescent="0.25">
      <c r="B14" s="25"/>
      <c r="C14" s="25"/>
      <c r="D14" s="25"/>
    </row>
    <row r="15" spans="2:5" x14ac:dyDescent="0.25">
      <c r="B15" s="25"/>
      <c r="C15" s="25"/>
      <c r="D15" s="25"/>
    </row>
    <row r="16" spans="2:5" x14ac:dyDescent="0.25">
      <c r="B16" s="25"/>
      <c r="C16" s="25"/>
      <c r="D16" s="25"/>
    </row>
    <row r="17" spans="2:4" x14ac:dyDescent="0.25">
      <c r="B17" s="25"/>
      <c r="C17" s="25"/>
      <c r="D17" s="25"/>
    </row>
    <row r="18" spans="2:4" x14ac:dyDescent="0.25">
      <c r="B18" s="25"/>
      <c r="C18" s="25"/>
      <c r="D18" s="25"/>
    </row>
    <row r="19" spans="2:4" x14ac:dyDescent="0.25">
      <c r="B19" s="25"/>
      <c r="C19" s="25"/>
      <c r="D19" s="25"/>
    </row>
    <row r="20" spans="2:4" x14ac:dyDescent="0.25">
      <c r="B20" s="25"/>
      <c r="C20" s="25"/>
      <c r="D20" s="25"/>
    </row>
    <row r="21" spans="2:4" x14ac:dyDescent="0.25">
      <c r="B21" s="25"/>
      <c r="C21" s="25"/>
      <c r="D21" s="25"/>
    </row>
    <row r="22" spans="2:4" x14ac:dyDescent="0.25">
      <c r="B22" s="25"/>
      <c r="C22" s="25"/>
      <c r="D22" s="25"/>
    </row>
    <row r="23" spans="2:4" x14ac:dyDescent="0.25">
      <c r="B23" s="25"/>
      <c r="C23" s="25"/>
      <c r="D23" s="25"/>
    </row>
    <row r="24" spans="2:4" x14ac:dyDescent="0.25">
      <c r="B24" s="25"/>
      <c r="C24" s="25"/>
      <c r="D24" s="25"/>
    </row>
    <row r="25" spans="2:4" x14ac:dyDescent="0.25">
      <c r="B25" s="25"/>
      <c r="C25" s="25"/>
      <c r="D25" s="25"/>
    </row>
    <row r="26" spans="2:4" x14ac:dyDescent="0.25">
      <c r="B26" s="25"/>
      <c r="C26" s="25"/>
      <c r="D26" s="25"/>
    </row>
    <row r="27" spans="2:4" x14ac:dyDescent="0.25">
      <c r="B27" s="25"/>
      <c r="C27" s="25"/>
      <c r="D27" s="25"/>
    </row>
    <row r="28" spans="2:4" x14ac:dyDescent="0.25">
      <c r="B28" s="25"/>
      <c r="C28" s="25"/>
      <c r="D28" s="25"/>
    </row>
    <row r="29" spans="2:4" x14ac:dyDescent="0.25">
      <c r="B29" s="25"/>
      <c r="C29" s="25"/>
      <c r="D29" s="25"/>
    </row>
    <row r="30" spans="2:4" x14ac:dyDescent="0.25">
      <c r="B30" s="25"/>
      <c r="C30" s="25"/>
      <c r="D30" s="25"/>
    </row>
    <row r="31" spans="2:4" x14ac:dyDescent="0.25">
      <c r="B31" s="25"/>
      <c r="C31" s="25"/>
      <c r="D31" s="25"/>
    </row>
    <row r="32" spans="2:4" x14ac:dyDescent="0.25">
      <c r="B32" s="25"/>
      <c r="C32" s="25"/>
      <c r="D32" s="25"/>
    </row>
    <row r="33" spans="2:4" x14ac:dyDescent="0.25">
      <c r="B33" s="25"/>
      <c r="C33" s="25"/>
      <c r="D33" s="25"/>
    </row>
    <row r="34" spans="2:4" x14ac:dyDescent="0.25">
      <c r="B34" s="25"/>
      <c r="C34" s="25"/>
      <c r="D34" s="25"/>
    </row>
    <row r="35" spans="2:4" x14ac:dyDescent="0.25">
      <c r="B35" s="25"/>
      <c r="C35" s="25"/>
      <c r="D35" s="25"/>
    </row>
    <row r="36" spans="2:4" x14ac:dyDescent="0.25">
      <c r="B36" s="25"/>
      <c r="C36" s="25"/>
      <c r="D36" s="25"/>
    </row>
    <row r="37" spans="2:4" x14ac:dyDescent="0.25">
      <c r="B37" s="25"/>
      <c r="C37" s="25"/>
      <c r="D37" s="25"/>
    </row>
    <row r="38" spans="2:4" x14ac:dyDescent="0.25">
      <c r="B38" s="25"/>
      <c r="C38" s="25"/>
      <c r="D38" s="25"/>
    </row>
    <row r="39" spans="2:4" x14ac:dyDescent="0.25">
      <c r="B39" s="25"/>
      <c r="C39" s="25"/>
      <c r="D39" s="25"/>
    </row>
    <row r="40" spans="2:4" x14ac:dyDescent="0.25">
      <c r="B40" s="25"/>
      <c r="C40" s="25"/>
      <c r="D40" s="25"/>
    </row>
    <row r="41" spans="2:4" x14ac:dyDescent="0.25">
      <c r="B41" s="25"/>
      <c r="C41" s="25"/>
      <c r="D41" s="25"/>
    </row>
    <row r="42" spans="2:4" x14ac:dyDescent="0.25">
      <c r="B42" s="25"/>
      <c r="C42" s="25"/>
      <c r="D42" s="25"/>
    </row>
    <row r="43" spans="2:4" x14ac:dyDescent="0.25">
      <c r="B43" s="25"/>
      <c r="C43" s="25"/>
      <c r="D43" s="25"/>
    </row>
    <row r="44" spans="2:4" x14ac:dyDescent="0.25">
      <c r="B44" s="25"/>
      <c r="C44" s="25"/>
      <c r="D44" s="25"/>
    </row>
    <row r="45" spans="2:4" x14ac:dyDescent="0.25">
      <c r="B45" s="25"/>
      <c r="C45" s="25"/>
      <c r="D45" s="25"/>
    </row>
    <row r="46" spans="2:4" x14ac:dyDescent="0.25">
      <c r="B46" s="25"/>
      <c r="C46" s="25"/>
      <c r="D46" s="25"/>
    </row>
    <row r="47" spans="2:4" x14ac:dyDescent="0.25">
      <c r="B47" s="25"/>
      <c r="C47" s="25"/>
      <c r="D47" s="25"/>
    </row>
    <row r="48" spans="2:4" x14ac:dyDescent="0.25">
      <c r="B48" s="25"/>
      <c r="C48" s="25"/>
      <c r="D48" s="25"/>
    </row>
    <row r="49" spans="2:4" x14ac:dyDescent="0.25">
      <c r="B49" s="25"/>
      <c r="C49" s="25"/>
      <c r="D49" s="25"/>
    </row>
    <row r="50" spans="2:4" x14ac:dyDescent="0.25">
      <c r="B50" s="25"/>
      <c r="C50" s="25"/>
      <c r="D50" s="25"/>
    </row>
    <row r="51" spans="2:4" x14ac:dyDescent="0.25">
      <c r="B51" s="25"/>
      <c r="C51" s="25"/>
      <c r="D51" s="25"/>
    </row>
    <row r="52" spans="2:4" x14ac:dyDescent="0.25">
      <c r="B52" s="25"/>
      <c r="C52" s="25"/>
      <c r="D52" s="25"/>
    </row>
  </sheetData>
  <mergeCells count="1">
    <mergeCell ref="B4:B5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8:D28"/>
  <sheetViews>
    <sheetView workbookViewId="0">
      <selection activeCell="Q27" sqref="Q27"/>
    </sheetView>
  </sheetViews>
  <sheetFormatPr defaultColWidth="7.08984375" defaultRowHeight="13.2" x14ac:dyDescent="0.25"/>
  <cols>
    <col min="1" max="1" width="8" style="4" customWidth="1"/>
    <col min="2" max="2" width="8.08984375" style="4" customWidth="1"/>
    <col min="3" max="3" width="10" style="4" customWidth="1"/>
    <col min="4" max="4" width="11.36328125" style="4" customWidth="1"/>
    <col min="5" max="16384" width="7.08984375" style="4"/>
  </cols>
  <sheetData>
    <row r="8" spans="1:4" ht="14.25" customHeight="1" x14ac:dyDescent="0.25">
      <c r="A8" s="94"/>
      <c r="B8" s="94"/>
      <c r="C8" s="94"/>
      <c r="D8" s="94"/>
    </row>
    <row r="9" spans="1:4" ht="26.4" x14ac:dyDescent="0.25">
      <c r="A9" s="5" t="s">
        <v>0</v>
      </c>
      <c r="B9" s="5" t="s">
        <v>1</v>
      </c>
      <c r="C9" s="6" t="s">
        <v>2</v>
      </c>
      <c r="D9" s="7" t="s">
        <v>3</v>
      </c>
    </row>
    <row r="10" spans="1:4" x14ac:dyDescent="0.25">
      <c r="A10" s="8">
        <v>167</v>
      </c>
      <c r="B10" s="8">
        <v>57</v>
      </c>
      <c r="C10" s="9" t="s">
        <v>4</v>
      </c>
      <c r="D10" s="23" t="str">
        <f>KSEIS(A10,B10)</f>
        <v>Normaalne</v>
      </c>
    </row>
    <row r="11" spans="1:4" x14ac:dyDescent="0.25">
      <c r="A11" s="8">
        <v>185</v>
      </c>
      <c r="B11" s="8">
        <v>85</v>
      </c>
      <c r="C11" s="9" t="s">
        <v>4</v>
      </c>
      <c r="D11" s="23" t="str">
        <f t="shared" ref="D11:D22" si="0">KSEIS(A11,B11)</f>
        <v>Normaalne</v>
      </c>
    </row>
    <row r="12" spans="1:4" x14ac:dyDescent="0.25">
      <c r="A12" s="8">
        <v>178</v>
      </c>
      <c r="B12" s="8">
        <v>77</v>
      </c>
      <c r="C12" s="9" t="s">
        <v>4</v>
      </c>
      <c r="D12" s="23" t="str">
        <f t="shared" si="0"/>
        <v>Normaalne</v>
      </c>
    </row>
    <row r="13" spans="1:4" x14ac:dyDescent="0.25">
      <c r="A13" s="8">
        <v>166</v>
      </c>
      <c r="B13" s="8">
        <v>55</v>
      </c>
      <c r="C13" s="9" t="s">
        <v>5</v>
      </c>
      <c r="D13" s="23" t="str">
        <f t="shared" si="0"/>
        <v>Alakaaluline</v>
      </c>
    </row>
    <row r="14" spans="1:4" x14ac:dyDescent="0.25">
      <c r="A14" s="8">
        <v>185</v>
      </c>
      <c r="B14" s="8">
        <v>85</v>
      </c>
      <c r="C14" s="9" t="s">
        <v>4</v>
      </c>
      <c r="D14" s="23" t="str">
        <f t="shared" si="0"/>
        <v>Normaalne</v>
      </c>
    </row>
    <row r="15" spans="1:4" x14ac:dyDescent="0.25">
      <c r="A15" s="8">
        <v>168</v>
      </c>
      <c r="B15" s="8">
        <v>58</v>
      </c>
      <c r="C15" s="9" t="s">
        <v>4</v>
      </c>
      <c r="D15" s="23" t="str">
        <f t="shared" si="0"/>
        <v>Normaalne</v>
      </c>
    </row>
    <row r="16" spans="1:4" x14ac:dyDescent="0.25">
      <c r="A16" s="8">
        <v>190</v>
      </c>
      <c r="B16" s="8">
        <v>89</v>
      </c>
      <c r="C16" s="9" t="s">
        <v>4</v>
      </c>
      <c r="D16" s="23" t="str">
        <f t="shared" si="0"/>
        <v>Normaalne</v>
      </c>
    </row>
    <row r="17" spans="1:4" x14ac:dyDescent="0.25">
      <c r="A17" s="8">
        <v>182</v>
      </c>
      <c r="B17" s="8">
        <v>113</v>
      </c>
      <c r="C17" s="9" t="s">
        <v>6</v>
      </c>
      <c r="D17" s="23" t="str">
        <f t="shared" si="0"/>
        <v>Ьlekaaluline</v>
      </c>
    </row>
    <row r="18" spans="1:4" x14ac:dyDescent="0.25">
      <c r="A18" s="8">
        <v>173</v>
      </c>
      <c r="B18" s="8">
        <v>61</v>
      </c>
      <c r="C18" s="9" t="s">
        <v>5</v>
      </c>
      <c r="D18" s="23" t="str">
        <f t="shared" si="0"/>
        <v>Alakaaluline</v>
      </c>
    </row>
    <row r="19" spans="1:4" x14ac:dyDescent="0.25">
      <c r="A19" s="8">
        <v>175</v>
      </c>
      <c r="B19" s="8">
        <v>75</v>
      </c>
      <c r="C19" s="9" t="s">
        <v>4</v>
      </c>
      <c r="D19" s="23" t="str">
        <f t="shared" si="0"/>
        <v>Normaalne</v>
      </c>
    </row>
    <row r="20" spans="1:4" x14ac:dyDescent="0.25">
      <c r="A20" s="8">
        <v>158</v>
      </c>
      <c r="B20" s="8">
        <v>55</v>
      </c>
      <c r="C20" s="9" t="s">
        <v>4</v>
      </c>
      <c r="D20" s="23" t="str">
        <f t="shared" si="0"/>
        <v>Normaalne</v>
      </c>
    </row>
    <row r="21" spans="1:4" x14ac:dyDescent="0.25">
      <c r="A21" s="8">
        <v>182</v>
      </c>
      <c r="B21" s="8">
        <v>69</v>
      </c>
      <c r="C21" s="9" t="s">
        <v>5</v>
      </c>
      <c r="D21" s="23" t="str">
        <f t="shared" si="0"/>
        <v>Alakaaluline</v>
      </c>
    </row>
    <row r="22" spans="1:4" x14ac:dyDescent="0.25">
      <c r="A22" s="8">
        <v>166</v>
      </c>
      <c r="B22" s="8">
        <v>56</v>
      </c>
      <c r="C22" s="9" t="s">
        <v>4</v>
      </c>
      <c r="D22" s="23" t="str">
        <f t="shared" si="0"/>
        <v>Normaalne</v>
      </c>
    </row>
    <row r="24" spans="1:4" x14ac:dyDescent="0.25">
      <c r="B24" s="4" t="s">
        <v>39</v>
      </c>
      <c r="C24" s="9" t="s">
        <v>4</v>
      </c>
      <c r="D24" s="23">
        <f>COUNTIF(D$10:D$22,C24)</f>
        <v>9</v>
      </c>
    </row>
    <row r="25" spans="1:4" x14ac:dyDescent="0.25">
      <c r="C25" s="9" t="s">
        <v>5</v>
      </c>
      <c r="D25" s="23">
        <f>COUNTIF(D$10:D$22,C25)</f>
        <v>3</v>
      </c>
    </row>
    <row r="26" spans="1:4" x14ac:dyDescent="0.25">
      <c r="C26" s="9" t="s">
        <v>6</v>
      </c>
      <c r="D26" s="23">
        <f>COUNTIF(D$10:D$22,C26)</f>
        <v>0</v>
      </c>
    </row>
    <row r="27" spans="1:4" x14ac:dyDescent="0.25">
      <c r="D27" s="4" t="str">
        <f>KSEIS(A27,B27)</f>
        <v>Ьlekaaluline</v>
      </c>
    </row>
    <row r="28" spans="1:4" x14ac:dyDescent="0.25">
      <c r="B28" s="27" t="s">
        <v>53</v>
      </c>
    </row>
  </sheetData>
  <mergeCells count="1">
    <mergeCell ref="A8:D8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Visio.Drawing.6" shapeId="10243" r:id="rId4">
          <objectPr defaultSize="0" autoPict="0" r:id="rId5">
            <anchor moveWithCells="1">
              <from>
                <xdr:col>4</xdr:col>
                <xdr:colOff>190500</xdr:colOff>
                <xdr:row>8</xdr:row>
                <xdr:rowOff>304800</xdr:rowOff>
              </from>
              <to>
                <xdr:col>10</xdr:col>
                <xdr:colOff>45720</xdr:colOff>
                <xdr:row>24</xdr:row>
                <xdr:rowOff>30480</xdr:rowOff>
              </to>
            </anchor>
          </objectPr>
        </oleObject>
      </mc:Choice>
      <mc:Fallback>
        <oleObject progId="Visio.Drawing.6" shapeId="10243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" r:id="rId6" name="Button 10">
              <controlPr defaultSize="0" print="0" autoFill="0" autoPict="0" macro="[0]!kaal">
                <anchor moveWithCells="1" sizeWithCells="1">
                  <from>
                    <xdr:col>13</xdr:col>
                    <xdr:colOff>594360</xdr:colOff>
                    <xdr:row>3</xdr:row>
                    <xdr:rowOff>114300</xdr:rowOff>
                  </from>
                  <to>
                    <xdr:col>18</xdr:col>
                    <xdr:colOff>144780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7" name="Button 11">
              <controlPr defaultSize="0" print="0" autoFill="0" autoPict="0" macro="[0]!clear_kaal">
                <anchor moveWithCells="1" sizeWithCells="1">
                  <from>
                    <xdr:col>14</xdr:col>
                    <xdr:colOff>30480</xdr:colOff>
                    <xdr:row>9</xdr:row>
                    <xdr:rowOff>152400</xdr:rowOff>
                  </from>
                  <to>
                    <xdr:col>18</xdr:col>
                    <xdr:colOff>144780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8" name="Button 12">
              <controlPr defaultSize="0" print="0" autoFill="0" autoPict="0" macro="[0]!kaal_diag">
                <anchor moveWithCells="1">
                  <from>
                    <xdr:col>21</xdr:col>
                    <xdr:colOff>213360</xdr:colOff>
                    <xdr:row>12</xdr:row>
                    <xdr:rowOff>137160</xdr:rowOff>
                  </from>
                  <to>
                    <xdr:col>25</xdr:col>
                    <xdr:colOff>411480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eht1"/>
  <dimension ref="A6:H17"/>
  <sheetViews>
    <sheetView workbookViewId="0">
      <selection activeCell="R4" sqref="R4"/>
    </sheetView>
  </sheetViews>
  <sheetFormatPr defaultRowHeight="15" x14ac:dyDescent="0.25"/>
  <cols>
    <col min="1" max="2" width="7.36328125" customWidth="1"/>
    <col min="4" max="5" width="7.36328125" customWidth="1"/>
    <col min="6" max="6" width="6.1796875" customWidth="1"/>
  </cols>
  <sheetData>
    <row r="6" spans="1:8" ht="15.6" x14ac:dyDescent="0.3">
      <c r="H6" s="10"/>
    </row>
    <row r="7" spans="1:8" x14ac:dyDescent="0.25">
      <c r="A7" s="31" t="s">
        <v>7</v>
      </c>
      <c r="B7" s="28"/>
      <c r="D7" s="31" t="s">
        <v>16</v>
      </c>
      <c r="E7" s="32"/>
      <c r="F7" s="32"/>
      <c r="H7" s="31" t="s">
        <v>52</v>
      </c>
    </row>
    <row r="8" spans="1:8" x14ac:dyDescent="0.25">
      <c r="A8" s="29" t="s">
        <v>9</v>
      </c>
      <c r="B8" s="29" t="s">
        <v>10</v>
      </c>
      <c r="D8" s="34" t="s">
        <v>17</v>
      </c>
      <c r="E8" s="34" t="s">
        <v>9</v>
      </c>
      <c r="F8" s="34" t="s">
        <v>10</v>
      </c>
    </row>
    <row r="9" spans="1:8" x14ac:dyDescent="0.25">
      <c r="A9" s="30" t="s">
        <v>8</v>
      </c>
      <c r="B9" s="30">
        <v>0</v>
      </c>
      <c r="D9" s="33" t="s">
        <v>18</v>
      </c>
      <c r="E9" s="35">
        <v>23</v>
      </c>
      <c r="F9" s="36">
        <f>hinne(E9)</f>
        <v>0</v>
      </c>
    </row>
    <row r="10" spans="1:8" x14ac:dyDescent="0.25">
      <c r="A10" s="30" t="s">
        <v>11</v>
      </c>
      <c r="B10" s="30">
        <v>1</v>
      </c>
      <c r="D10" s="33" t="s">
        <v>19</v>
      </c>
      <c r="E10" s="35">
        <v>56</v>
      </c>
      <c r="F10" s="36">
        <f t="shared" ref="F10:F15" si="0">hinne(E10)</f>
        <v>1</v>
      </c>
    </row>
    <row r="11" spans="1:8" x14ac:dyDescent="0.25">
      <c r="A11" s="30" t="s">
        <v>12</v>
      </c>
      <c r="B11" s="30">
        <v>2</v>
      </c>
      <c r="D11" s="33" t="s">
        <v>20</v>
      </c>
      <c r="E11" s="35">
        <v>89</v>
      </c>
      <c r="F11" s="36">
        <f t="shared" si="0"/>
        <v>4</v>
      </c>
    </row>
    <row r="12" spans="1:8" x14ac:dyDescent="0.25">
      <c r="A12" s="30" t="s">
        <v>13</v>
      </c>
      <c r="B12" s="30">
        <v>3</v>
      </c>
      <c r="D12" s="33" t="s">
        <v>21</v>
      </c>
      <c r="E12" s="35">
        <v>91</v>
      </c>
      <c r="F12" s="36">
        <f t="shared" si="0"/>
        <v>5</v>
      </c>
    </row>
    <row r="13" spans="1:8" x14ac:dyDescent="0.25">
      <c r="A13" s="30" t="s">
        <v>14</v>
      </c>
      <c r="B13" s="30">
        <v>4</v>
      </c>
      <c r="D13" s="33" t="s">
        <v>22</v>
      </c>
      <c r="E13" s="35">
        <v>78</v>
      </c>
      <c r="F13" s="36">
        <f t="shared" si="0"/>
        <v>3</v>
      </c>
    </row>
    <row r="14" spans="1:8" x14ac:dyDescent="0.25">
      <c r="A14" s="30" t="s">
        <v>15</v>
      </c>
      <c r="B14" s="30">
        <v>5</v>
      </c>
      <c r="D14" s="33" t="s">
        <v>23</v>
      </c>
      <c r="E14" s="35">
        <v>67</v>
      </c>
      <c r="F14" s="36">
        <f t="shared" si="0"/>
        <v>2</v>
      </c>
    </row>
    <row r="15" spans="1:8" x14ac:dyDescent="0.25">
      <c r="D15" s="33" t="s">
        <v>24</v>
      </c>
      <c r="E15" s="35">
        <v>75</v>
      </c>
      <c r="F15" s="36">
        <f t="shared" si="0"/>
        <v>3</v>
      </c>
    </row>
    <row r="17" spans="2:2" x14ac:dyDescent="0.25">
      <c r="B17" s="31" t="s">
        <v>54</v>
      </c>
    </row>
  </sheetData>
  <phoneticPr fontId="0" type="noConversion"/>
  <pageMargins left="0.75" right="0.75" top="1" bottom="1" header="0" footer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hinded">
                <anchor moveWithCells="1" sizeWithCells="1">
                  <from>
                    <xdr:col>12</xdr:col>
                    <xdr:colOff>106680</xdr:colOff>
                    <xdr:row>3</xdr:row>
                    <xdr:rowOff>30480</xdr:rowOff>
                  </from>
                  <to>
                    <xdr:col>14</xdr:col>
                    <xdr:colOff>731520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hinded">
                <anchor moveWithCells="1" sizeWithCells="1">
                  <from>
                    <xdr:col>12</xdr:col>
                    <xdr:colOff>144780</xdr:colOff>
                    <xdr:row>8</xdr:row>
                    <xdr:rowOff>83820</xdr:rowOff>
                  </from>
                  <to>
                    <xdr:col>15</xdr:col>
                    <xdr:colOff>137160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" name="Button 3">
              <controlPr defaultSize="0" print="0" autoFill="0" autoPict="0" macro="[0]!hinded_diag">
                <anchor moveWithCells="1">
                  <from>
                    <xdr:col>17</xdr:col>
                    <xdr:colOff>190500</xdr:colOff>
                    <xdr:row>9</xdr:row>
                    <xdr:rowOff>7620</xdr:rowOff>
                  </from>
                  <to>
                    <xdr:col>20</xdr:col>
                    <xdr:colOff>137160</xdr:colOff>
                    <xdr:row>16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O35"/>
  <sheetViews>
    <sheetView showGridLines="0" workbookViewId="0">
      <selection activeCell="O32" sqref="O32"/>
    </sheetView>
  </sheetViews>
  <sheetFormatPr defaultColWidth="7.08984375" defaultRowHeight="15" x14ac:dyDescent="0.25"/>
  <cols>
    <col min="1" max="1" width="3.6328125" style="40" customWidth="1"/>
    <col min="2" max="6" width="7.08984375" style="40" customWidth="1"/>
    <col min="7" max="7" width="4.90625" style="40" customWidth="1"/>
    <col min="8" max="8" width="3.54296875" style="40" customWidth="1"/>
    <col min="9" max="16384" width="7.08984375" style="40"/>
  </cols>
  <sheetData>
    <row r="1" spans="2:15" ht="9.75" customHeight="1" x14ac:dyDescent="0.25"/>
    <row r="2" spans="2:15" ht="27" customHeight="1" x14ac:dyDescent="0.25">
      <c r="B2" s="38" t="s">
        <v>62</v>
      </c>
      <c r="C2" s="39"/>
      <c r="D2" s="39"/>
      <c r="E2" s="39"/>
      <c r="F2" s="39"/>
      <c r="G2" s="39"/>
      <c r="H2" s="41" t="s">
        <v>63</v>
      </c>
      <c r="I2" s="42"/>
      <c r="J2" s="42"/>
      <c r="L2" s="42"/>
      <c r="M2" s="42"/>
      <c r="N2" s="42"/>
      <c r="O2" s="42"/>
    </row>
    <row r="3" spans="2:15" ht="21.75" customHeight="1" x14ac:dyDescent="0.25">
      <c r="B3" s="43" t="s">
        <v>64</v>
      </c>
      <c r="C3" s="44"/>
      <c r="D3" s="44"/>
      <c r="E3" s="44"/>
      <c r="F3" s="45"/>
      <c r="G3" s="39"/>
      <c r="H3" s="46" t="s">
        <v>65</v>
      </c>
      <c r="I3" s="47"/>
      <c r="J3" s="47"/>
      <c r="K3" s="47"/>
      <c r="L3" s="47"/>
      <c r="M3" s="47"/>
      <c r="N3" s="48"/>
    </row>
    <row r="4" spans="2:15" ht="21.75" customHeight="1" x14ac:dyDescent="0.25">
      <c r="B4" s="49" t="s">
        <v>66</v>
      </c>
      <c r="C4" s="39"/>
      <c r="D4" s="39"/>
      <c r="E4" s="39"/>
      <c r="F4" s="50"/>
      <c r="G4" s="39"/>
      <c r="H4" s="51" t="s">
        <v>55</v>
      </c>
      <c r="J4" s="42"/>
      <c r="K4" s="42"/>
      <c r="L4" s="42"/>
      <c r="M4" s="42"/>
      <c r="N4" s="42"/>
      <c r="O4" s="42"/>
    </row>
    <row r="5" spans="2:15" ht="21.75" customHeight="1" x14ac:dyDescent="0.25">
      <c r="B5" s="49" t="s">
        <v>67</v>
      </c>
      <c r="C5" s="39"/>
      <c r="D5" s="39"/>
      <c r="E5" s="39"/>
      <c r="F5" s="50"/>
      <c r="G5" s="39"/>
    </row>
    <row r="6" spans="2:15" ht="21.75" customHeight="1" x14ac:dyDescent="0.25">
      <c r="B6" s="49" t="s">
        <v>56</v>
      </c>
      <c r="C6" s="39"/>
      <c r="D6" s="39"/>
      <c r="E6" s="39"/>
      <c r="F6" s="50"/>
      <c r="G6" s="39"/>
      <c r="H6" s="41" t="s">
        <v>69</v>
      </c>
    </row>
    <row r="7" spans="2:15" ht="21.75" customHeight="1" x14ac:dyDescent="0.25">
      <c r="B7" s="49" t="s">
        <v>68</v>
      </c>
      <c r="C7" s="39"/>
      <c r="D7" s="39"/>
      <c r="E7" s="39"/>
      <c r="F7" s="50"/>
      <c r="G7" s="39"/>
      <c r="H7" s="61" t="s">
        <v>70</v>
      </c>
      <c r="I7" s="62"/>
      <c r="J7" s="63"/>
    </row>
    <row r="8" spans="2:15" ht="21.75" customHeight="1" x14ac:dyDescent="0.25">
      <c r="B8" s="52" t="s">
        <v>57</v>
      </c>
      <c r="C8" s="53"/>
      <c r="D8" s="53"/>
      <c r="E8" s="53"/>
      <c r="F8" s="54"/>
      <c r="G8" s="39"/>
      <c r="H8" s="64" t="s">
        <v>71</v>
      </c>
      <c r="I8" s="56"/>
      <c r="J8" s="65"/>
    </row>
    <row r="9" spans="2:15" ht="21.75" customHeight="1" x14ac:dyDescent="0.25">
      <c r="B9" s="55"/>
      <c r="C9" s="39"/>
      <c r="D9" s="39"/>
      <c r="E9" s="39"/>
      <c r="F9" s="39"/>
      <c r="G9" s="39"/>
      <c r="H9" s="66" t="s">
        <v>72</v>
      </c>
      <c r="I9" s="41"/>
      <c r="J9" s="67"/>
    </row>
    <row r="10" spans="2:15" ht="21.75" customHeight="1" x14ac:dyDescent="0.25">
      <c r="C10" s="42"/>
      <c r="D10" s="42"/>
      <c r="E10" s="42"/>
      <c r="F10" s="42"/>
      <c r="G10" s="42"/>
      <c r="H10" s="64" t="s">
        <v>73</v>
      </c>
      <c r="I10" s="41"/>
      <c r="J10" s="67"/>
    </row>
    <row r="11" spans="2:15" ht="20.25" customHeight="1" x14ac:dyDescent="0.25">
      <c r="E11" s="42"/>
      <c r="F11" s="42"/>
      <c r="G11" s="42"/>
      <c r="H11" s="68" t="s">
        <v>58</v>
      </c>
      <c r="I11" s="69"/>
      <c r="J11" s="70"/>
    </row>
    <row r="12" spans="2:15" s="57" customFormat="1" ht="17.399999999999999" x14ac:dyDescent="0.3">
      <c r="C12" s="88"/>
      <c r="D12" s="88"/>
      <c r="E12" s="56"/>
      <c r="F12" s="56"/>
      <c r="G12" s="56"/>
    </row>
    <row r="13" spans="2:15" ht="17.399999999999999" x14ac:dyDescent="0.3">
      <c r="B13" s="87" t="s">
        <v>78</v>
      </c>
      <c r="C13" s="88"/>
      <c r="D13" s="88"/>
      <c r="E13" s="42"/>
      <c r="F13" s="42"/>
      <c r="G13" s="42"/>
      <c r="H13" s="42"/>
    </row>
    <row r="14" spans="2:15" ht="17.399999999999999" x14ac:dyDescent="0.25">
      <c r="B14" s="89"/>
      <c r="C14" s="89"/>
      <c r="D14" s="89"/>
      <c r="E14" s="42"/>
      <c r="F14" s="42"/>
      <c r="G14" s="42"/>
      <c r="H14" s="42"/>
    </row>
    <row r="15" spans="2:15" ht="17.399999999999999" x14ac:dyDescent="0.25">
      <c r="B15" s="89"/>
      <c r="C15" s="89"/>
      <c r="D15" s="89"/>
      <c r="E15" s="42"/>
      <c r="F15" s="42"/>
      <c r="G15" s="42"/>
      <c r="H15" s="42"/>
    </row>
    <row r="16" spans="2:15" ht="17.399999999999999" x14ac:dyDescent="0.25">
      <c r="B16" s="89"/>
      <c r="C16" s="89"/>
      <c r="D16" s="89"/>
      <c r="E16" s="42"/>
      <c r="F16" s="42"/>
      <c r="G16" s="42"/>
      <c r="H16" s="42"/>
    </row>
    <row r="17" spans="2:15" ht="17.399999999999999" x14ac:dyDescent="0.3">
      <c r="B17" s="88"/>
      <c r="C17" s="88"/>
      <c r="D17" s="88"/>
      <c r="E17" s="42"/>
      <c r="F17" s="42"/>
      <c r="G17" s="42"/>
      <c r="H17" s="42"/>
    </row>
    <row r="18" spans="2:15" ht="17.399999999999999" x14ac:dyDescent="0.3">
      <c r="B18" s="88"/>
      <c r="C18" s="88"/>
      <c r="D18" s="88"/>
      <c r="E18" s="42"/>
      <c r="F18" s="42"/>
      <c r="G18" s="42"/>
      <c r="H18" s="42"/>
    </row>
    <row r="19" spans="2:15" ht="17.399999999999999" x14ac:dyDescent="0.3">
      <c r="B19" s="88"/>
      <c r="C19" s="88"/>
      <c r="D19" s="88"/>
      <c r="E19" s="42"/>
      <c r="F19" s="42"/>
      <c r="G19" s="42"/>
      <c r="H19" s="42"/>
    </row>
    <row r="20" spans="2:15" ht="17.399999999999999" x14ac:dyDescent="0.3">
      <c r="B20" s="88"/>
      <c r="C20" s="88"/>
      <c r="D20" s="88"/>
      <c r="E20" s="42"/>
      <c r="F20" s="42"/>
      <c r="G20" s="42"/>
      <c r="H20" s="42"/>
    </row>
    <row r="21" spans="2:15" s="57" customFormat="1" ht="17.399999999999999" x14ac:dyDescent="0.3">
      <c r="B21" s="88"/>
      <c r="C21" s="88"/>
      <c r="D21" s="88"/>
      <c r="E21" s="56"/>
      <c r="F21" s="56"/>
      <c r="G21" s="56"/>
      <c r="H21" s="56"/>
    </row>
    <row r="25" spans="2:15" ht="15.6" x14ac:dyDescent="0.3">
      <c r="B25" s="58" t="s">
        <v>74</v>
      </c>
      <c r="D25" s="59"/>
      <c r="E25" s="59"/>
      <c r="F25" s="59"/>
      <c r="G25" s="59"/>
      <c r="H25" s="59"/>
      <c r="I25" s="59"/>
      <c r="J25" s="60"/>
      <c r="K25" s="60"/>
      <c r="L25" s="60"/>
      <c r="M25" s="60"/>
      <c r="N25" s="60"/>
      <c r="O25" s="60"/>
    </row>
    <row r="26" spans="2:15" ht="13.5" customHeight="1" x14ac:dyDescent="0.25">
      <c r="B26" s="60"/>
      <c r="C26" s="95"/>
      <c r="D26" s="95"/>
      <c r="E26" s="95"/>
      <c r="F26" s="95"/>
      <c r="G26" s="95"/>
      <c r="H26" s="95"/>
      <c r="I26" s="95"/>
      <c r="J26" s="60"/>
      <c r="K26" s="60"/>
      <c r="L26" s="60"/>
      <c r="M26" s="60"/>
      <c r="N26" s="60"/>
      <c r="O26" s="60"/>
    </row>
    <row r="27" spans="2:15" ht="17.25" customHeight="1" x14ac:dyDescent="0.25">
      <c r="B27" s="71" t="s">
        <v>75</v>
      </c>
      <c r="C27" s="72"/>
      <c r="D27" s="73"/>
      <c r="E27" s="59"/>
      <c r="G27" s="59"/>
      <c r="H27" s="59"/>
      <c r="I27" s="59"/>
      <c r="J27" s="60"/>
      <c r="K27" s="60"/>
      <c r="L27" s="60"/>
      <c r="M27" s="60"/>
      <c r="N27" s="60"/>
      <c r="O27" s="60"/>
    </row>
    <row r="28" spans="2:15" ht="17.25" customHeight="1" x14ac:dyDescent="0.25">
      <c r="B28" s="74" t="s">
        <v>76</v>
      </c>
      <c r="C28" s="59"/>
      <c r="D28" s="75"/>
      <c r="E28" s="59"/>
      <c r="G28" s="59"/>
      <c r="H28" s="59"/>
      <c r="I28" s="59"/>
      <c r="J28" s="60"/>
      <c r="K28" s="60"/>
      <c r="L28" s="60"/>
      <c r="M28" s="60"/>
      <c r="N28" s="60"/>
      <c r="O28" s="60"/>
    </row>
    <row r="29" spans="2:15" ht="17.25" customHeight="1" x14ac:dyDescent="0.25">
      <c r="B29" s="76"/>
      <c r="C29" s="59" t="s">
        <v>59</v>
      </c>
      <c r="D29" s="75"/>
      <c r="E29" s="59"/>
      <c r="G29" s="59"/>
      <c r="H29" s="59"/>
      <c r="I29" s="59"/>
      <c r="J29" s="60"/>
      <c r="K29" s="60"/>
      <c r="L29" s="60"/>
      <c r="M29" s="60"/>
      <c r="N29" s="60"/>
      <c r="O29" s="60"/>
    </row>
    <row r="30" spans="2:15" ht="17.25" customHeight="1" x14ac:dyDescent="0.25">
      <c r="B30" s="77" t="s">
        <v>77</v>
      </c>
      <c r="C30" s="59"/>
      <c r="D30" s="75"/>
      <c r="E30" s="59"/>
      <c r="G30" s="59"/>
      <c r="H30" s="59"/>
      <c r="I30" s="59"/>
      <c r="J30" s="60"/>
      <c r="K30" s="60"/>
      <c r="L30" s="60"/>
      <c r="M30" s="60"/>
      <c r="N30" s="60"/>
      <c r="O30" s="60"/>
    </row>
    <row r="31" spans="2:15" ht="17.25" customHeight="1" x14ac:dyDescent="0.25">
      <c r="B31" s="76"/>
      <c r="C31" s="59" t="s">
        <v>60</v>
      </c>
      <c r="D31" s="75"/>
      <c r="E31" s="59"/>
      <c r="G31" s="59"/>
      <c r="H31" s="59"/>
      <c r="I31" s="59"/>
      <c r="J31" s="60"/>
      <c r="K31" s="60"/>
      <c r="L31" s="60"/>
      <c r="M31" s="60"/>
      <c r="N31" s="60"/>
      <c r="O31" s="60"/>
    </row>
    <row r="32" spans="2:15" ht="17.25" customHeight="1" x14ac:dyDescent="0.25">
      <c r="B32" s="78" t="s">
        <v>61</v>
      </c>
      <c r="C32" s="79"/>
      <c r="D32" s="80"/>
      <c r="E32" s="59"/>
      <c r="G32" s="59"/>
      <c r="H32" s="59"/>
      <c r="I32" s="59"/>
      <c r="J32" s="60"/>
      <c r="K32" s="60"/>
      <c r="L32" s="60"/>
      <c r="M32" s="60"/>
      <c r="N32" s="60"/>
      <c r="O32" s="60"/>
    </row>
    <row r="33" spans="2:15" x14ac:dyDescent="0.25">
      <c r="B33" s="60"/>
      <c r="C33" s="60"/>
      <c r="D33" s="60"/>
      <c r="E33" s="60"/>
      <c r="F33" s="60"/>
      <c r="G33" s="59"/>
      <c r="H33" s="59"/>
      <c r="I33" s="59"/>
      <c r="J33" s="60"/>
      <c r="K33" s="60"/>
      <c r="L33" s="60"/>
      <c r="M33" s="60"/>
      <c r="N33" s="60"/>
      <c r="O33" s="60"/>
    </row>
    <row r="34" spans="2:15" x14ac:dyDescent="0.2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x14ac:dyDescent="0.2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</sheetData>
  <mergeCells count="1">
    <mergeCell ref="C26:I26"/>
  </mergeCells>
  <phoneticPr fontId="9" type="noConversion"/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showGridLines="0" zoomScale="130" workbookViewId="0">
      <selection activeCell="E29" sqref="E29"/>
    </sheetView>
  </sheetViews>
  <sheetFormatPr defaultColWidth="7.08984375" defaultRowHeight="13.2" x14ac:dyDescent="0.25"/>
  <cols>
    <col min="1" max="16384" width="7.08984375" style="37"/>
  </cols>
  <sheetData/>
  <phoneticPr fontId="3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Töölehed</vt:lpstr>
      </vt:variant>
      <vt:variant>
        <vt:i4>8</vt:i4>
      </vt:variant>
    </vt:vector>
  </HeadingPairs>
  <TitlesOfParts>
    <vt:vector size="8" baseType="lpstr">
      <vt:lpstr>Detail</vt:lpstr>
      <vt:lpstr>Leht1</vt:lpstr>
      <vt:lpstr>Funktsioon</vt:lpstr>
      <vt:lpstr>Funktsioon (näide)</vt:lpstr>
      <vt:lpstr>Kaal</vt:lpstr>
      <vt:lpstr>Hinded</vt:lpstr>
      <vt:lpstr>Abi</vt:lpstr>
      <vt:lpstr>diagrammi elemendid</vt:lpstr>
    </vt:vector>
  </TitlesOfParts>
  <Company>Tallinn Technical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Tarkvara õppetool</dc:creator>
  <cp:lastModifiedBy>Edgar Muoni</cp:lastModifiedBy>
  <dcterms:created xsi:type="dcterms:W3CDTF">2002-10-16T13:26:29Z</dcterms:created>
  <dcterms:modified xsi:type="dcterms:W3CDTF">2024-04-08T19:18:01Z</dcterms:modified>
</cp:coreProperties>
</file>