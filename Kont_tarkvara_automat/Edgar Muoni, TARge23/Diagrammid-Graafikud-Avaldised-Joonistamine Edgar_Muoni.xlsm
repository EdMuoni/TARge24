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pivotTables/pivotTable1.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xml"/>
  <Override PartName="/xl/tables/table1.xml" ContentType="application/vnd.openxmlformats-officedocument.spreadsheetml.table+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codeName="ThisWorkbook" hidePivotFieldList="1" defaultThemeVersion="124226"/>
  <mc:AlternateContent xmlns:mc="http://schemas.openxmlformats.org/markup-compatibility/2006">
    <mc:Choice Requires="x15">
      <x15ac:absPath xmlns:x15ac="http://schemas.microsoft.com/office/spreadsheetml/2010/11/ac" url="C:\Users\Jazztime\Desktop\TARge23\Kont_tarkvara_automat\I\1.nädal\Edgar Muoni, TARge23\"/>
    </mc:Choice>
  </mc:AlternateContent>
  <xr:revisionPtr revIDLastSave="0" documentId="13_ncr:1_{1AAB176A-A65E-4A13-926D-FC1ADD1872AB}" xr6:coauthVersionLast="47" xr6:coauthVersionMax="47" xr10:uidLastSave="{00000000-0000-0000-0000-000000000000}"/>
  <bookViews>
    <workbookView xWindow="-108" yWindow="-108" windowWidth="23256" windowHeight="12576" tabRatio="916" firstSheet="3" activeTab="5" xr2:uid="{00000000-000D-0000-FFFF-FFFF00000000}"/>
  </bookViews>
  <sheets>
    <sheet name="Tiitel" sheetId="9" r:id="rId1"/>
    <sheet name="Graafik1" sheetId="4" r:id="rId2"/>
    <sheet name="Graafiku1 näide" sheetId="5" r:id="rId3"/>
    <sheet name="Graafik 2" sheetId="6" r:id="rId4"/>
    <sheet name="Graafiku2 näide" sheetId="7" r:id="rId5"/>
    <sheet name="Diagramm" sheetId="8" r:id="rId6"/>
    <sheet name="Diagrammi_naide" sheetId="13" r:id="rId7"/>
    <sheet name="Fun_tab1_N" sheetId="22" r:id="rId8"/>
    <sheet name="Fun_tab1_N_naide" sheetId="27" r:id="rId9"/>
    <sheet name="Meeskond" sheetId="23" r:id="rId10"/>
    <sheet name="Meeskond_naide" sheetId="28" r:id="rId11"/>
    <sheet name="Sheet1" sheetId="30" r:id="rId12"/>
    <sheet name="Eelarve" sheetId="20" r:id="rId13"/>
    <sheet name="Hinnakiri" sheetId="21" r:id="rId14"/>
    <sheet name="Arve ja Arve_naide " sheetId="25" r:id="rId15"/>
    <sheet name="Kaubad" sheetId="26" r:id="rId16"/>
    <sheet name="Aegread" sheetId="29" r:id="rId17"/>
    <sheet name="Joonistamine" sheetId="10" r:id="rId18"/>
    <sheet name="Konnektorid ja skeemid" sheetId="11" r:id="rId19"/>
    <sheet name="Valemiredaktor" sheetId="12" r:id="rId20"/>
  </sheets>
  <externalReferences>
    <externalReference r:id="rId21"/>
    <externalReference r:id="rId22"/>
    <externalReference r:id="rId23"/>
    <externalReference r:id="rId24"/>
    <externalReference r:id="rId25"/>
    <externalReference r:id="rId26"/>
  </externalReferences>
  <definedNames>
    <definedName name="_xlnm._FilterDatabase" localSheetId="15" hidden="1">Kaubad!$B$4:$D$120</definedName>
    <definedName name="a" localSheetId="3">'Graafik 2'!$B$20</definedName>
    <definedName name="a" localSheetId="1">Graafik1!$B$3</definedName>
    <definedName name="a" localSheetId="4">'Graafiku2 näide'!$B$3</definedName>
    <definedName name="a">'Graafiku1 näide'!$A$3</definedName>
    <definedName name="A_mark_N">[1]!Arvukid[mark]</definedName>
    <definedName name="aa" localSheetId="3">'Graafik 2'!$G$20</definedName>
    <definedName name="aa">'Graafiku2 näide'!$G$3</definedName>
    <definedName name="algus" localSheetId="16">[2]Fun_tab1_N!$B$6</definedName>
    <definedName name="algus" localSheetId="7">Fun_tab1_N!$B$6</definedName>
    <definedName name="algus">Fun_tab1_N_naide!$B$6</definedName>
    <definedName name="Artikkel">[2]Kaubad!$B$5:$B$120</definedName>
    <definedName name="b" localSheetId="3">'Graafik 2'!$C$20</definedName>
    <definedName name="b" localSheetId="1">Graafik1!$C$3</definedName>
    <definedName name="b" localSheetId="4">'Graafiku2 näide'!$C$3</definedName>
    <definedName name="b">'Graafiku1 näide'!$B$3</definedName>
    <definedName name="bb" localSheetId="3">'Graafik 2'!$H$20</definedName>
    <definedName name="bb">'Graafiku2 näide'!$H$3</definedName>
    <definedName name="ek">#REF!</definedName>
    <definedName name="elukohad" localSheetId="16" hidden="1">'[3]abi '!$C$7:$C$24</definedName>
    <definedName name="elukohad" hidden="1">'[4]abi '!$C$7:$C$24</definedName>
    <definedName name="grupp">[2]Meeskond!$G$4:$G$7</definedName>
    <definedName name="h" localSheetId="3">'Graafik 2'!$E$20</definedName>
    <definedName name="h" localSheetId="1">Graafik1!$E$3</definedName>
    <definedName name="h" localSheetId="4">'Graafiku2 näide'!$E$3</definedName>
    <definedName name="h">'Graafiku1 näide'!$D$3</definedName>
    <definedName name="hh" localSheetId="3">'Graafik 2'!$J$20</definedName>
    <definedName name="hh">'Graafiku2 näide'!$J$3</definedName>
    <definedName name="Hind_KM_ga">[2]Arve!$D$6:$D$14</definedName>
    <definedName name="Hind_käibemaksuga">[2]Kaubad!$D$5:$D$120</definedName>
    <definedName name="hinnaklasse">Eelarve!$D$7</definedName>
    <definedName name="hinnang">[5]And_Or!$D$24:$D$25</definedName>
    <definedName name="jaotisi" localSheetId="16">[2]Fun_tab1_N!$D$6</definedName>
    <definedName name="jaotisi" localSheetId="7">Fun_tab1_N!$D$6</definedName>
    <definedName name="jaotisi">Fun_tab1_N_naide!$D$6</definedName>
    <definedName name="Keskmine">[2]Arve!$H$7</definedName>
    <definedName name="km_prots">[1]Table_obj!$G$4</definedName>
    <definedName name="Kogus">[2]Arve!$C$6:$C$14</definedName>
    <definedName name="kohti_igas_klassis">Eelarve!$D$8</definedName>
    <definedName name="kohti_reas">Eelarve!$D$6</definedName>
    <definedName name="Linnad" localSheetId="16" hidden="1">'[3]abi '!$E$7:$E$12</definedName>
    <definedName name="Linnad" hidden="1">'[4]abi '!$E$7:$E$12</definedName>
    <definedName name="lõpp" localSheetId="16">[2]Fun_tab1_N!$C$6</definedName>
    <definedName name="lõpp" localSheetId="7">Fun_tab1_N!$C$6</definedName>
    <definedName name="lõpp">Fun_tab1_N_naide!$C$6</definedName>
    <definedName name="Maks">[2]Arve!$H$5</definedName>
    <definedName name="min">Meeskond!$N$4:$N$7</definedName>
    <definedName name="mitu">[2]Meeskond!$H$4:$H$7</definedName>
    <definedName name="muud">[6]Värvimine_tab!$J$4</definedName>
    <definedName name="muud_kulud">[6]Värvimine_tab!$I$7:$I$15</definedName>
    <definedName name="n" localSheetId="3">'Graafik 2'!$D$20</definedName>
    <definedName name="n" localSheetId="1">Graafik1!$D$3</definedName>
    <definedName name="n" localSheetId="4">'Graafiku2 näide'!$D$3</definedName>
    <definedName name="n">'Graafiku1 näide'!$C$3</definedName>
    <definedName name="Nimetus">[2]Kaubad!$C$5:$C$120</definedName>
    <definedName name="Nimi">Meeskond!$I$4:$I$26</definedName>
    <definedName name="nn" localSheetId="3">'Graafik 2'!$I$20</definedName>
    <definedName name="nn">'Graafiku2 näide'!$I$3</definedName>
    <definedName name="p" localSheetId="16">[2]Fun_tab1_N!$F$6</definedName>
    <definedName name="p" localSheetId="7">Fun_tab1_N!$F$6</definedName>
    <definedName name="p">Fun_tab1_N_naide!$F$6</definedName>
    <definedName name="Päevad">Eelarve!$C$12:$C$18</definedName>
    <definedName name="ridu">Eelarve!$D$5</definedName>
    <definedName name="samm" localSheetId="16">[2]Fun_tab1_N!$E$6</definedName>
    <definedName name="samm" localSheetId="7">Fun_tab1_N!$E$6</definedName>
    <definedName name="samm">Fun_tab1_N_naide!$E$6</definedName>
    <definedName name="sugu">[5]Tingimused!$G$5</definedName>
    <definedName name="Summa">[2]Arve!$E$6:$E$14</definedName>
    <definedName name="Sünniaeg">[2]Meeskond!$B$4:$B$26</definedName>
    <definedName name="z" localSheetId="16">[2]Fun_tab1_N!$D$9:$D$29</definedName>
    <definedName name="z" localSheetId="7">Fun_tab1_N!$D$9:$D$29</definedName>
    <definedName name="z">Fun_tab1_N_naide!$D$9:$D$29</definedName>
    <definedName name="täna">[2]Meeskond!$C$1</definedName>
    <definedName name="u">Fun_tab1_N_naide!$D$9:$D$29</definedName>
    <definedName name="v">#REF!</definedName>
    <definedName name="Vanus">[2]Meeskond!$C$4:$C$26</definedName>
    <definedName name="Vanusegrupp">Meeskond!$O$4:$O$7</definedName>
    <definedName name="wwwww">Fun_tab1_N_naide!$F$6</definedName>
    <definedName name="x" localSheetId="16">[2]Fun_tab1_N!$B$9:$B$29</definedName>
    <definedName name="x" localSheetId="7">Fun_tab1_N!$B$9:$B$29</definedName>
    <definedName name="x">'Graafiku1 näide'!$A$6:$A$26</definedName>
    <definedName name="xx">Fun_tab1_N_naide!$B$9:$B$29</definedName>
    <definedName name="y" localSheetId="16">[2]Fun_tab1_N!$C$9:$C$29</definedName>
    <definedName name="y" localSheetId="7">Fun_tab1_N!$C$9:$C$29</definedName>
    <definedName name="y">Fun_tab1_N_naide!$C$9:$C$29</definedName>
  </definedNames>
  <calcPr calcId="191029"/>
  <pivotCaches>
    <pivotCache cacheId="0" r:id="rId2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4" l="1"/>
  <c r="D9" i="22"/>
  <c r="B11" i="22"/>
  <c r="B12" i="22" s="1"/>
  <c r="B10" i="22"/>
  <c r="B9" i="22"/>
  <c r="D24" i="20"/>
  <c r="E28" i="20" s="1" a="1"/>
  <c r="E28" i="20" s="1"/>
  <c r="L20" i="20"/>
  <c r="G20" i="20"/>
  <c r="H20" i="20"/>
  <c r="I20" i="20"/>
  <c r="J20" i="20"/>
  <c r="F20" i="20"/>
  <c r="L13" i="20"/>
  <c r="L14" i="20"/>
  <c r="L15" i="20"/>
  <c r="L16" i="20"/>
  <c r="L17" i="20"/>
  <c r="L18" i="20"/>
  <c r="L12" i="20"/>
  <c r="F18" i="20" a="1"/>
  <c r="F18" i="20" s="1"/>
  <c r="F12" i="20" a="1"/>
  <c r="F12" i="20" s="1"/>
  <c r="F13" i="20" a="1"/>
  <c r="F13" i="20" s="1"/>
  <c r="F14" i="20" a="1"/>
  <c r="F14" i="20" s="1"/>
  <c r="F15" i="20" a="1"/>
  <c r="F15" i="20" s="1"/>
  <c r="F16" i="20" a="1"/>
  <c r="F16" i="20" s="1"/>
  <c r="F17" i="20" a="1"/>
  <c r="F17" i="20" s="1"/>
  <c r="E13" i="20"/>
  <c r="E14" i="20"/>
  <c r="E15" i="20"/>
  <c r="E16" i="20"/>
  <c r="E17" i="20"/>
  <c r="E18" i="20"/>
  <c r="E12" i="20"/>
  <c r="K1" i="23"/>
  <c r="K5" i="23" s="1"/>
  <c r="L5" i="23" s="1"/>
  <c r="M5" i="23" l="1"/>
  <c r="D12" i="22"/>
  <c r="B13" i="22"/>
  <c r="C12" i="22"/>
  <c r="C11" i="22"/>
  <c r="C10" i="22"/>
  <c r="D11" i="22"/>
  <c r="D10" i="22"/>
  <c r="E26" i="20" a="1"/>
  <c r="E26" i="20" s="1"/>
  <c r="E27" i="20" a="1"/>
  <c r="E27" i="20" s="1"/>
  <c r="E30" i="20" a="1"/>
  <c r="E30" i="20" s="1"/>
  <c r="F29" i="20" a="1"/>
  <c r="F29" i="20" s="1"/>
  <c r="E29" i="20" a="1"/>
  <c r="E29" i="20" s="1"/>
  <c r="F26" i="20" a="1"/>
  <c r="F26" i="20" s="1"/>
  <c r="F28" i="20" a="1"/>
  <c r="F28" i="20" s="1"/>
  <c r="F30" i="20" a="1"/>
  <c r="F30" i="20" s="1"/>
  <c r="F27" i="20" a="1"/>
  <c r="F27" i="20" s="1"/>
  <c r="K16" i="23"/>
  <c r="K12" i="23"/>
  <c r="K24" i="23"/>
  <c r="K8" i="23"/>
  <c r="K20" i="23"/>
  <c r="K23" i="23"/>
  <c r="K19" i="23"/>
  <c r="K15" i="23"/>
  <c r="K11" i="23"/>
  <c r="K7" i="23"/>
  <c r="K26" i="23"/>
  <c r="K22" i="23"/>
  <c r="K18" i="23"/>
  <c r="K14" i="23"/>
  <c r="K10" i="23"/>
  <c r="K6" i="23"/>
  <c r="K25" i="23"/>
  <c r="K21" i="23"/>
  <c r="K17" i="23"/>
  <c r="K13" i="23"/>
  <c r="K9" i="23"/>
  <c r="K4" i="23"/>
  <c r="L10" i="23" l="1"/>
  <c r="M10" i="23"/>
  <c r="L19" i="23"/>
  <c r="M19" i="23"/>
  <c r="L14" i="23"/>
  <c r="M14" i="23"/>
  <c r="L23" i="23"/>
  <c r="M23" i="23"/>
  <c r="L20" i="23"/>
  <c r="M20" i="23"/>
  <c r="L11" i="23"/>
  <c r="M11" i="23"/>
  <c r="L8" i="23"/>
  <c r="M8" i="23"/>
  <c r="L6" i="23"/>
  <c r="M6" i="23"/>
  <c r="L18" i="23"/>
  <c r="M18" i="23"/>
  <c r="L22" i="23"/>
  <c r="M22" i="23"/>
  <c r="L17" i="23"/>
  <c r="M17" i="23"/>
  <c r="L26" i="23"/>
  <c r="M26" i="23"/>
  <c r="L24" i="23"/>
  <c r="M24" i="23"/>
  <c r="L9" i="23"/>
  <c r="M9" i="23"/>
  <c r="L13" i="23"/>
  <c r="M13" i="23"/>
  <c r="L21" i="23"/>
  <c r="M21" i="23"/>
  <c r="L7" i="23"/>
  <c r="M7" i="23"/>
  <c r="L12" i="23"/>
  <c r="M12" i="23"/>
  <c r="L25" i="23"/>
  <c r="M25" i="23"/>
  <c r="L16" i="23"/>
  <c r="M16" i="23"/>
  <c r="L15" i="23"/>
  <c r="M15" i="23"/>
  <c r="L4" i="23"/>
  <c r="M4" i="23"/>
  <c r="D13" i="22"/>
  <c r="C13" i="22"/>
  <c r="B14" i="22"/>
  <c r="E32" i="20"/>
  <c r="F32" i="20"/>
  <c r="E33" i="20" s="1"/>
  <c r="P6" i="23"/>
  <c r="B15" i="22" l="1"/>
  <c r="C14" i="22"/>
  <c r="D14" i="22"/>
  <c r="P5" i="23"/>
  <c r="P4" i="23"/>
  <c r="P7" i="23"/>
  <c r="B16" i="22" l="1"/>
  <c r="C15" i="22"/>
  <c r="D15" i="22"/>
  <c r="E6" i="22"/>
  <c r="C16" i="22" l="1"/>
  <c r="D16" i="22"/>
  <c r="B17" i="22"/>
  <c r="C9" i="22"/>
  <c r="H23" i="6"/>
  <c r="C23" i="6"/>
  <c r="G23" i="6"/>
  <c r="B23" i="6"/>
  <c r="B24" i="6" s="1"/>
  <c r="J20" i="6"/>
  <c r="E20" i="6"/>
  <c r="B6" i="4"/>
  <c r="C6" i="4" s="1"/>
  <c r="D17" i="22" l="1"/>
  <c r="B18" i="22"/>
  <c r="C17" i="22"/>
  <c r="B25" i="6"/>
  <c r="C24" i="6"/>
  <c r="G24" i="6"/>
  <c r="E3" i="4"/>
  <c r="B7" i="4" s="1"/>
  <c r="C18" i="22" l="1"/>
  <c r="B19" i="22"/>
  <c r="D18" i="22"/>
  <c r="D7" i="4"/>
  <c r="C7" i="4"/>
  <c r="B8" i="4"/>
  <c r="G25" i="6"/>
  <c r="H24" i="6"/>
  <c r="B26" i="6"/>
  <c r="C25" i="6"/>
  <c r="D8" i="20"/>
  <c r="F9" i="21" s="1"/>
  <c r="B20" i="22" l="1"/>
  <c r="C19" i="22"/>
  <c r="D19" i="22"/>
  <c r="G26" i="6"/>
  <c r="H25" i="6"/>
  <c r="C8" i="4"/>
  <c r="B9" i="4"/>
  <c r="D8" i="4"/>
  <c r="B27" i="6"/>
  <c r="C26" i="6"/>
  <c r="F6" i="21"/>
  <c r="D8" i="21"/>
  <c r="G9" i="21"/>
  <c r="G6" i="21"/>
  <c r="E8" i="21"/>
  <c r="D9" i="21"/>
  <c r="D6" i="21"/>
  <c r="C7" i="21"/>
  <c r="G7" i="21"/>
  <c r="F8" i="21"/>
  <c r="E9" i="21"/>
  <c r="E7" i="21"/>
  <c r="C9" i="21"/>
  <c r="C6" i="21"/>
  <c r="F7" i="21"/>
  <c r="E6" i="21"/>
  <c r="D7" i="21"/>
  <c r="C8" i="21"/>
  <c r="G8" i="21"/>
  <c r="E6" i="7"/>
  <c r="B6" i="7"/>
  <c r="J3" i="7"/>
  <c r="E3" i="7"/>
  <c r="A6" i="5"/>
  <c r="D3" i="5"/>
  <c r="B21" i="22" l="1"/>
  <c r="C20" i="22"/>
  <c r="D20" i="22"/>
  <c r="D9" i="4"/>
  <c r="C9" i="4"/>
  <c r="B10" i="4"/>
  <c r="B28" i="6"/>
  <c r="C27" i="6"/>
  <c r="G27" i="6"/>
  <c r="H26" i="6"/>
  <c r="A7" i="5"/>
  <c r="B7" i="5" s="1"/>
  <c r="B7" i="7"/>
  <c r="B8" i="7" s="1"/>
  <c r="E7" i="7"/>
  <c r="F7" i="7" s="1"/>
  <c r="C7" i="7"/>
  <c r="B6" i="5"/>
  <c r="C6" i="5"/>
  <c r="C6" i="7"/>
  <c r="F6" i="7"/>
  <c r="C21" i="22" l="1"/>
  <c r="D21" i="22"/>
  <c r="B22" i="22"/>
  <c r="B29" i="6"/>
  <c r="C28" i="6"/>
  <c r="D10" i="4"/>
  <c r="C10" i="4"/>
  <c r="B11" i="4"/>
  <c r="G28" i="6"/>
  <c r="H27" i="6"/>
  <c r="C7" i="5"/>
  <c r="A8" i="5"/>
  <c r="A9" i="5" s="1"/>
  <c r="E8" i="7"/>
  <c r="E9" i="7" s="1"/>
  <c r="F8" i="7"/>
  <c r="B9" i="7"/>
  <c r="C8" i="7"/>
  <c r="B23" i="22" l="1"/>
  <c r="C22" i="22"/>
  <c r="D22" i="22"/>
  <c r="B12" i="4"/>
  <c r="D11" i="4"/>
  <c r="C11" i="4"/>
  <c r="B30" i="6"/>
  <c r="C29" i="6"/>
  <c r="G29" i="6"/>
  <c r="H28" i="6"/>
  <c r="B8" i="5"/>
  <c r="C8" i="5"/>
  <c r="A10" i="5"/>
  <c r="C9" i="5"/>
  <c r="B9" i="5"/>
  <c r="B10" i="7"/>
  <c r="C9" i="7"/>
  <c r="E10" i="7"/>
  <c r="F9" i="7"/>
  <c r="B24" i="22" l="1"/>
  <c r="C23" i="22"/>
  <c r="D23" i="22"/>
  <c r="G30" i="6"/>
  <c r="H29" i="6"/>
  <c r="B31" i="6"/>
  <c r="C30" i="6"/>
  <c r="B13" i="4"/>
  <c r="C12" i="4"/>
  <c r="D12" i="4"/>
  <c r="E11" i="7"/>
  <c r="F10" i="7"/>
  <c r="B11" i="7"/>
  <c r="C10" i="7"/>
  <c r="A11" i="5"/>
  <c r="C10" i="5"/>
  <c r="B10" i="5"/>
  <c r="D24" i="22" l="1"/>
  <c r="B25" i="22"/>
  <c r="C24" i="22"/>
  <c r="B32" i="6"/>
  <c r="C31" i="6"/>
  <c r="B14" i="4"/>
  <c r="D13" i="4"/>
  <c r="C13" i="4"/>
  <c r="G31" i="6"/>
  <c r="H30" i="6"/>
  <c r="A12" i="5"/>
  <c r="C11" i="5"/>
  <c r="B11" i="5"/>
  <c r="B12" i="7"/>
  <c r="C11" i="7"/>
  <c r="E12" i="7"/>
  <c r="F11" i="7"/>
  <c r="D25" i="22" l="1"/>
  <c r="B26" i="22"/>
  <c r="C25" i="22"/>
  <c r="G32" i="6"/>
  <c r="H31" i="6"/>
  <c r="B15" i="4"/>
  <c r="D14" i="4"/>
  <c r="C14" i="4"/>
  <c r="B33" i="6"/>
  <c r="C32" i="6"/>
  <c r="E13" i="7"/>
  <c r="F12" i="7"/>
  <c r="B13" i="7"/>
  <c r="C12" i="7"/>
  <c r="A13" i="5"/>
  <c r="C12" i="5"/>
  <c r="B12" i="5"/>
  <c r="B27" i="22" l="1"/>
  <c r="D26" i="22"/>
  <c r="C26" i="22"/>
  <c r="B16" i="4"/>
  <c r="D15" i="4"/>
  <c r="C15" i="4"/>
  <c r="B34" i="6"/>
  <c r="C33" i="6"/>
  <c r="G33" i="6"/>
  <c r="H32" i="6"/>
  <c r="A14" i="5"/>
  <c r="C13" i="5"/>
  <c r="B13" i="5"/>
  <c r="B14" i="7"/>
  <c r="C13" i="7"/>
  <c r="E14" i="7"/>
  <c r="F13" i="7"/>
  <c r="B28" i="22" l="1"/>
  <c r="C27" i="22"/>
  <c r="D27" i="22"/>
  <c r="B35" i="6"/>
  <c r="C34" i="6"/>
  <c r="G34" i="6"/>
  <c r="H33" i="6"/>
  <c r="B17" i="4"/>
  <c r="C16" i="4"/>
  <c r="D16" i="4"/>
  <c r="E15" i="7"/>
  <c r="F14" i="7"/>
  <c r="B15" i="7"/>
  <c r="C14" i="7"/>
  <c r="A15" i="5"/>
  <c r="C14" i="5"/>
  <c r="B14" i="5"/>
  <c r="B29" i="22" l="1"/>
  <c r="C28" i="22"/>
  <c r="D28" i="22"/>
  <c r="G35" i="6"/>
  <c r="H34" i="6"/>
  <c r="B18" i="4"/>
  <c r="D17" i="4"/>
  <c r="C17" i="4"/>
  <c r="B36" i="6"/>
  <c r="C35" i="6"/>
  <c r="A16" i="5"/>
  <c r="C15" i="5"/>
  <c r="B15" i="5"/>
  <c r="B16" i="7"/>
  <c r="C15" i="7"/>
  <c r="E16" i="7"/>
  <c r="F15" i="7"/>
  <c r="C29" i="22" l="1"/>
  <c r="D29" i="22"/>
  <c r="J6" i="22" s="1"/>
  <c r="B19" i="4"/>
  <c r="D18" i="4"/>
  <c r="C18" i="4"/>
  <c r="B37" i="6"/>
  <c r="C36" i="6"/>
  <c r="G36" i="6"/>
  <c r="H35" i="6"/>
  <c r="E17" i="7"/>
  <c r="F16" i="7"/>
  <c r="B17" i="7"/>
  <c r="C16" i="7"/>
  <c r="A17" i="5"/>
  <c r="C16" i="5"/>
  <c r="B16" i="5"/>
  <c r="H6" i="22" l="1"/>
  <c r="I6" i="22"/>
  <c r="B38" i="6"/>
  <c r="C37" i="6"/>
  <c r="G37" i="6"/>
  <c r="H37" i="6" s="1"/>
  <c r="H36" i="6"/>
  <c r="B20" i="4"/>
  <c r="D19" i="4"/>
  <c r="C19" i="4"/>
  <c r="A18" i="5"/>
  <c r="C17" i="5"/>
  <c r="B17" i="5"/>
  <c r="B18" i="7"/>
  <c r="C17" i="7"/>
  <c r="E18" i="7"/>
  <c r="F17" i="7"/>
  <c r="B21" i="4" l="1"/>
  <c r="C20" i="4"/>
  <c r="D20" i="4"/>
  <c r="B39" i="6"/>
  <c r="C38" i="6"/>
  <c r="E19" i="7"/>
  <c r="F18" i="7"/>
  <c r="B19" i="7"/>
  <c r="C18" i="7"/>
  <c r="A19" i="5"/>
  <c r="C18" i="5"/>
  <c r="B18" i="5"/>
  <c r="B40" i="6" l="1"/>
  <c r="C39" i="6"/>
  <c r="B22" i="4"/>
  <c r="D21" i="4"/>
  <c r="C21" i="4"/>
  <c r="A20" i="5"/>
  <c r="C19" i="5"/>
  <c r="B19" i="5"/>
  <c r="B20" i="7"/>
  <c r="C19" i="7"/>
  <c r="E20" i="7"/>
  <c r="F20" i="7" s="1"/>
  <c r="F19" i="7"/>
  <c r="B23" i="4" l="1"/>
  <c r="D22" i="4"/>
  <c r="C22" i="4"/>
  <c r="B41" i="6"/>
  <c r="C40" i="6"/>
  <c r="B21" i="7"/>
  <c r="C20" i="7"/>
  <c r="A21" i="5"/>
  <c r="C20" i="5"/>
  <c r="B20" i="5"/>
  <c r="B42" i="6" l="1"/>
  <c r="C41" i="6"/>
  <c r="B24" i="4"/>
  <c r="D23" i="4"/>
  <c r="C23" i="4"/>
  <c r="A22" i="5"/>
  <c r="C21" i="5"/>
  <c r="B21" i="5"/>
  <c r="B22" i="7"/>
  <c r="C21" i="7"/>
  <c r="B25" i="4" l="1"/>
  <c r="C24" i="4"/>
  <c r="D24" i="4"/>
  <c r="B43" i="6"/>
  <c r="C42" i="6"/>
  <c r="B23" i="7"/>
  <c r="C22" i="7"/>
  <c r="A23" i="5"/>
  <c r="C22" i="5"/>
  <c r="B22" i="5"/>
  <c r="B44" i="6" l="1"/>
  <c r="C43" i="6"/>
  <c r="B26" i="4"/>
  <c r="D25" i="4"/>
  <c r="C25" i="4"/>
  <c r="A24" i="5"/>
  <c r="C23" i="5"/>
  <c r="B23" i="5"/>
  <c r="B24" i="7"/>
  <c r="C23" i="7"/>
  <c r="D26" i="4" l="1"/>
  <c r="C26" i="4"/>
  <c r="B45" i="6"/>
  <c r="C44" i="6"/>
  <c r="B25" i="7"/>
  <c r="C24" i="7"/>
  <c r="A25" i="5"/>
  <c r="C24" i="5"/>
  <c r="B24" i="5"/>
  <c r="C45" i="6" l="1"/>
  <c r="B46" i="6"/>
  <c r="A26" i="5"/>
  <c r="C25" i="5"/>
  <c r="B25" i="5"/>
  <c r="B26" i="7"/>
  <c r="C25" i="7"/>
  <c r="C46" i="6" l="1"/>
  <c r="B47" i="6"/>
  <c r="C47" i="6" s="1"/>
  <c r="B27" i="7"/>
  <c r="C26" i="7"/>
  <c r="C26" i="5"/>
  <c r="B26" i="5"/>
  <c r="B28" i="7" l="1"/>
  <c r="C27" i="7"/>
  <c r="B29" i="7" l="1"/>
  <c r="C28" i="7"/>
  <c r="B30" i="7" l="1"/>
  <c r="C30" i="7" s="1"/>
  <c r="C2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Irina Amitan</author>
    <author>ITK</author>
  </authors>
  <commentList>
    <comment ref="C2" authorId="0" shapeId="0" xr:uid="{00000000-0006-0000-0B00-000001000000}">
      <text>
        <r>
          <rPr>
            <sz val="11"/>
            <color indexed="81"/>
            <rFont val="Tahoma"/>
            <family val="2"/>
            <charset val="186"/>
          </rPr>
          <t xml:space="preserve">1. Tööleht </t>
        </r>
        <r>
          <rPr>
            <b/>
            <sz val="11"/>
            <color indexed="81"/>
            <rFont val="Tahoma"/>
            <family val="2"/>
            <charset val="186"/>
          </rPr>
          <t>Eelarve</t>
        </r>
        <r>
          <rPr>
            <sz val="11"/>
            <color indexed="81"/>
            <rFont val="Tahoma"/>
            <family val="2"/>
            <charset val="186"/>
          </rPr>
          <t xml:space="preserve"> on teatri piletite nädala müügi eelarve andmete koostamiseks. 
    Veergudesse </t>
        </r>
        <r>
          <rPr>
            <b/>
            <sz val="11"/>
            <color indexed="81"/>
            <rFont val="Tahoma"/>
            <family val="2"/>
            <charset val="186"/>
          </rPr>
          <t>Liik, 1, 2, 3, 4, 5</t>
        </r>
        <r>
          <rPr>
            <sz val="11"/>
            <color indexed="81"/>
            <rFont val="Tahoma"/>
            <family val="2"/>
            <charset val="186"/>
          </rPr>
          <t xml:space="preserve"> ja </t>
        </r>
        <r>
          <rPr>
            <b/>
            <sz val="11"/>
            <color indexed="81"/>
            <rFont val="Tahoma"/>
            <family val="2"/>
            <charset val="186"/>
          </rPr>
          <t>Kokku</t>
        </r>
        <r>
          <rPr>
            <sz val="11"/>
            <color indexed="81"/>
            <rFont val="Tahoma"/>
            <family val="2"/>
            <charset val="186"/>
          </rPr>
          <t xml:space="preserve"> sisestage valemid.
    Tegelikke piletite müümise andmete alusel tehakse eelarve täitmise analüüs.
2. Looge tööleht </t>
        </r>
        <r>
          <rPr>
            <b/>
            <sz val="11"/>
            <color indexed="81"/>
            <rFont val="Tahoma"/>
            <family val="2"/>
            <charset val="186"/>
          </rPr>
          <t>Filtrid</t>
        </r>
        <r>
          <rPr>
            <sz val="11"/>
            <color indexed="81"/>
            <rFont val="Tahoma"/>
            <family val="2"/>
            <charset val="186"/>
          </rPr>
          <t xml:space="preserve"> ja väljastage sellele eelarve täitmise analüüsi tabeli alusel väljavalitud
    kirjed, kasutades arendatud filtrit (</t>
        </r>
        <r>
          <rPr>
            <b/>
            <sz val="11"/>
            <color indexed="81"/>
            <rFont val="Tahoma"/>
            <family val="2"/>
            <charset val="186"/>
          </rPr>
          <t>Advanced Filter</t>
        </r>
        <r>
          <rPr>
            <sz val="11"/>
            <color indexed="81"/>
            <rFont val="Tahoma"/>
            <family val="2"/>
            <charset val="186"/>
          </rPr>
          <t xml:space="preserve">), järgmiste tingimuste järgi:
    • Näidake väljad </t>
        </r>
        <r>
          <rPr>
            <b/>
            <sz val="11"/>
            <color indexed="81"/>
            <rFont val="Tahoma"/>
            <family val="2"/>
            <charset val="186"/>
          </rPr>
          <t>Hinnaklassid</t>
        </r>
        <r>
          <rPr>
            <sz val="11"/>
            <color indexed="81"/>
            <rFont val="Tahoma"/>
            <family val="2"/>
            <charset val="186"/>
          </rPr>
          <t xml:space="preserve">, </t>
        </r>
        <r>
          <rPr>
            <b/>
            <sz val="11"/>
            <color indexed="81"/>
            <rFont val="Tahoma"/>
            <family val="2"/>
            <charset val="186"/>
          </rPr>
          <t>Tegelikult ostetud piletite arv</t>
        </r>
        <r>
          <rPr>
            <sz val="11"/>
            <color indexed="81"/>
            <rFont val="Tahoma"/>
            <family val="2"/>
            <charset val="186"/>
          </rPr>
          <t>, T</t>
        </r>
        <r>
          <rPr>
            <b/>
            <sz val="11"/>
            <color indexed="81"/>
            <rFont val="Tahoma"/>
            <family val="2"/>
            <charset val="186"/>
          </rPr>
          <t>egelik käive</t>
        </r>
        <r>
          <rPr>
            <sz val="11"/>
            <color indexed="81"/>
            <rFont val="Tahoma"/>
            <family val="2"/>
            <charset val="186"/>
          </rPr>
          <t xml:space="preserve"> ja 
      </t>
        </r>
        <r>
          <rPr>
            <b/>
            <sz val="11"/>
            <color indexed="81"/>
            <rFont val="Tahoma"/>
            <family val="2"/>
            <charset val="186"/>
          </rPr>
          <t>Eelarve</t>
        </r>
        <r>
          <rPr>
            <sz val="11"/>
            <color indexed="81"/>
            <rFont val="Tahoma"/>
            <family val="2"/>
            <charset val="186"/>
          </rPr>
          <t xml:space="preserve"> nende hinnaklasside kohta, kus variatsioon on suurem lubatust 
      (kasutada arvutatavat kriteeriumit, tulemuseks üks kirje). 
</t>
        </r>
        <r>
          <rPr>
            <sz val="8"/>
            <color indexed="81"/>
            <rFont val="Tahoma"/>
            <family val="2"/>
            <charset val="204"/>
          </rPr>
          <t xml:space="preserve">
</t>
        </r>
      </text>
    </comment>
    <comment ref="E11" authorId="1" shapeId="0" xr:uid="{00000000-0006-0000-0B00-000002000000}">
      <text>
        <r>
          <rPr>
            <sz val="9"/>
            <color indexed="81"/>
            <rFont val="Tahoma"/>
            <family val="2"/>
            <charset val="186"/>
          </rPr>
          <t>Kasutage otsingufunktsioone, sõltub etendusest</t>
        </r>
      </text>
    </comment>
    <comment ref="F12" authorId="1" shapeId="0" xr:uid="{00000000-0006-0000-0B00-000003000000}">
      <text>
        <r>
          <rPr>
            <sz val="9"/>
            <color indexed="81"/>
            <rFont val="Tahoma"/>
            <family val="2"/>
            <charset val="186"/>
          </rPr>
          <t>Kasutage otsingufunktsioone, sõltub etenduse liigist ja hinnaklassist. Hinnaklassi selles tabelis määrab vastava veeru pealkirja lahter.
Kirjutada valem antud lahtrisse ja siis kopeerida üle terve tabeli.</t>
        </r>
      </text>
    </comment>
    <comment ref="D21" authorId="0" shapeId="0" xr:uid="{00000000-0006-0000-0B00-000004000000}">
      <text>
        <r>
          <rPr>
            <sz val="8"/>
            <color indexed="81"/>
            <rFont val="Tahoma"/>
            <family val="2"/>
            <charset val="186"/>
          </rPr>
          <t>eelarve tegelikul täitmisel</t>
        </r>
        <r>
          <rPr>
            <b/>
            <sz val="8"/>
            <color indexed="81"/>
            <rFont val="Tahoma"/>
            <family val="2"/>
            <charset val="204"/>
          </rPr>
          <t xml:space="preserve"> v</t>
        </r>
        <r>
          <rPr>
            <sz val="8"/>
            <color indexed="81"/>
            <rFont val="Tahoma"/>
            <family val="2"/>
            <charset val="186"/>
          </rPr>
          <t xml:space="preserve">õib käibe variatsioon plaanitust olla üles või allapoole kuni antud protsendi arv </t>
        </r>
        <r>
          <rPr>
            <sz val="8"/>
            <color indexed="81"/>
            <rFont val="Tahoma"/>
            <family val="2"/>
            <charset val="204"/>
          </rPr>
          <t xml:space="preserve">
</t>
        </r>
      </text>
    </comment>
    <comment ref="D23" authorId="0" shapeId="0" xr:uid="{00000000-0006-0000-0B00-000005000000}">
      <text>
        <r>
          <rPr>
            <sz val="8"/>
            <color indexed="81"/>
            <rFont val="Tahoma"/>
            <family val="2"/>
            <charset val="186"/>
          </rPr>
          <t>Lahtrile on määratud valideerimine, nädalapäeva saab muuta</t>
        </r>
        <r>
          <rPr>
            <sz val="8"/>
            <color indexed="81"/>
            <rFont val="Tahoma"/>
            <family val="2"/>
            <charset val="204"/>
          </rPr>
          <t xml:space="preserve">
</t>
        </r>
      </text>
    </comment>
    <comment ref="D24" authorId="1" shapeId="0" xr:uid="{00000000-0006-0000-0B00-000006000000}">
      <text>
        <r>
          <rPr>
            <sz val="9"/>
            <color indexed="81"/>
            <rFont val="Tahoma"/>
            <family val="2"/>
            <charset val="186"/>
          </rPr>
          <t>Kasutage otsingufunktsioone, sõltub nädalapäevast</t>
        </r>
      </text>
    </comment>
    <comment ref="E25" authorId="0" shapeId="0" xr:uid="{00000000-0006-0000-0B00-000007000000}">
      <text>
        <r>
          <rPr>
            <sz val="8"/>
            <color indexed="81"/>
            <rFont val="Tahoma"/>
            <family val="2"/>
            <charset val="186"/>
          </rPr>
          <t>kasutada otsimis funktsioone</t>
        </r>
        <r>
          <rPr>
            <sz val="8"/>
            <color indexed="81"/>
            <rFont val="Tahoma"/>
            <family val="2"/>
            <charset val="204"/>
          </rPr>
          <t xml:space="preserve">
hinnaklassi käive leidmiseks, korrutada ostetud piletite arvuga ja jagada kohtade arvuga ühes hinnaklassis</t>
        </r>
      </text>
    </comment>
    <comment ref="F25" authorId="0" shapeId="0" xr:uid="{00000000-0006-0000-0B00-000008000000}">
      <text>
        <r>
          <rPr>
            <sz val="8"/>
            <color indexed="81"/>
            <rFont val="Tahoma"/>
            <family val="2"/>
            <charset val="186"/>
          </rPr>
          <t>kasutada otsimis funktsioone</t>
        </r>
        <r>
          <rPr>
            <sz val="8"/>
            <color indexed="81"/>
            <rFont val="Tahoma"/>
            <family val="2"/>
            <charset val="204"/>
          </rPr>
          <t xml:space="preserve">
hinnaklassi käive leidmiseks valitud nädalapäeval </t>
        </r>
      </text>
    </comment>
    <comment ref="E32" authorId="0" shapeId="0" xr:uid="{00000000-0006-0000-0B00-000009000000}">
      <text>
        <r>
          <rPr>
            <sz val="8"/>
            <color indexed="81"/>
            <rFont val="Tahoma"/>
            <family val="2"/>
            <charset val="204"/>
          </rPr>
          <t xml:space="preserve">Tegelik käive kokku valitud päeval
</t>
        </r>
      </text>
    </comment>
    <comment ref="F32" authorId="0" shapeId="0" xr:uid="{00000000-0006-0000-0B00-00000A000000}">
      <text>
        <r>
          <rPr>
            <sz val="8"/>
            <color indexed="81"/>
            <rFont val="Tahoma"/>
            <family val="2"/>
            <charset val="204"/>
          </rPr>
          <t xml:space="preserve">Eelarve käive kokku valitud päeval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Jüri Vilipõld</author>
    <author>Tarkvara õppetool</author>
  </authors>
  <commentList>
    <comment ref="B4" authorId="0" shapeId="0" xr:uid="{00000000-0006-0000-1000-000001000000}">
      <text>
        <r>
          <rPr>
            <sz val="12"/>
            <color indexed="8"/>
            <rFont val="Tahoma"/>
            <family val="2"/>
            <charset val="186"/>
          </rPr>
          <t xml:space="preserve">  Klõpsata järjest punkte, mida peab läbima joon. Lõpus topeltklõps.
Kujundit saab täita (Fill)
Saab muuta punktide asukohta ja arvu - objekti menüüst </t>
        </r>
        <r>
          <rPr>
            <b/>
            <sz val="12"/>
            <color indexed="12"/>
            <rFont val="Tahoma"/>
            <family val="2"/>
            <charset val="186"/>
          </rPr>
          <t>Edit Points</t>
        </r>
        <r>
          <rPr>
            <sz val="12"/>
            <color indexed="8"/>
            <rFont val="Tahoma"/>
            <family val="2"/>
            <charset val="186"/>
          </rPr>
          <t xml:space="preserve">. 
</t>
        </r>
      </text>
    </comment>
    <comment ref="B14" authorId="0" shapeId="0" xr:uid="{00000000-0006-0000-1000-000002000000}">
      <text>
        <r>
          <rPr>
            <sz val="12"/>
            <color indexed="8"/>
            <rFont val="Tahoma"/>
            <family val="2"/>
            <charset val="186"/>
          </rPr>
          <t xml:space="preserve">Võimaldab joonestada hulknurki, murdjooni ja kujundeid, mis koosnevad sirg-, kõver- ja vabakäejoontest jm
Kujundis eristatakse </t>
        </r>
        <r>
          <rPr>
            <b/>
            <sz val="12"/>
            <color indexed="8"/>
            <rFont val="Tahoma"/>
            <family val="2"/>
          </rPr>
          <t>segmente</t>
        </r>
        <r>
          <rPr>
            <sz val="12"/>
            <color indexed="8"/>
            <rFont val="Tahoma"/>
            <family val="2"/>
            <charset val="186"/>
          </rPr>
          <t xml:space="preserve"> ja </t>
        </r>
        <r>
          <rPr>
            <b/>
            <sz val="12"/>
            <color indexed="8"/>
            <rFont val="Tahoma"/>
            <family val="2"/>
          </rPr>
          <t>tippe</t>
        </r>
        <r>
          <rPr>
            <sz val="12"/>
            <color indexed="8"/>
            <rFont val="Tahoma"/>
            <family val="2"/>
            <charset val="186"/>
          </rPr>
          <t xml:space="preserve"> ehk punkte (points)
</t>
        </r>
        <r>
          <rPr>
            <b/>
            <sz val="12"/>
            <color indexed="8"/>
            <rFont val="Tahoma"/>
            <family val="2"/>
            <charset val="186"/>
          </rPr>
          <t>Hulknurga</t>
        </r>
        <r>
          <rPr>
            <sz val="12"/>
            <color indexed="8"/>
            <rFont val="Tahoma"/>
            <family val="2"/>
            <charset val="186"/>
          </rPr>
          <t xml:space="preserve"> ja </t>
        </r>
        <r>
          <rPr>
            <b/>
            <sz val="12"/>
            <color indexed="8"/>
            <rFont val="Tahoma"/>
            <family val="2"/>
          </rPr>
          <t>murdjoone</t>
        </r>
        <r>
          <rPr>
            <sz val="12"/>
            <color indexed="8"/>
            <rFont val="Tahoma"/>
            <family val="2"/>
            <charset val="186"/>
          </rPr>
          <t xml:space="preserve"> joonestamisel klõpsata järjest punkte, kus peavad olema tipud. Lõpus topeltklõps.
   </t>
        </r>
        <r>
          <rPr>
            <b/>
            <sz val="12"/>
            <color indexed="10"/>
            <rFont val="Tahoma"/>
            <family val="2"/>
          </rPr>
          <t>NB!</t>
        </r>
        <r>
          <rPr>
            <sz val="12"/>
            <color indexed="8"/>
            <rFont val="Tahoma"/>
            <family val="2"/>
            <charset val="186"/>
          </rPr>
          <t xml:space="preserve"> Hiire nuppu klõpsatuste vahel mitte hoida!
</t>
        </r>
        <r>
          <rPr>
            <b/>
            <sz val="12"/>
            <color indexed="8"/>
            <rFont val="Tahoma"/>
            <family val="2"/>
            <charset val="186"/>
          </rPr>
          <t>Vabakäe joone</t>
        </r>
        <r>
          <rPr>
            <sz val="12"/>
            <color indexed="8"/>
            <rFont val="Tahoma"/>
            <family val="2"/>
            <charset val="186"/>
          </rPr>
          <t xml:space="preserve"> tegemiseks hoida all hiire vasakpoolset nuppu ja vedada joont.
Kujundiga hõlmatavat ala saab täita värviga, ka siis kui joon pole suletud.
Tippude asukohta saab muuta. Klõpsata kujundit hiire parempoolse nupuga ja valida menüüst </t>
        </r>
        <r>
          <rPr>
            <b/>
            <sz val="12"/>
            <color indexed="12"/>
            <rFont val="Tahoma"/>
            <family val="2"/>
          </rPr>
          <t>Edit Points</t>
        </r>
        <r>
          <rPr>
            <sz val="12"/>
            <color indexed="8"/>
            <rFont val="Tahoma"/>
            <family val="2"/>
            <charset val="186"/>
          </rPr>
          <t>.
Saab muuta sirgjoonelise segmendi kõveraks ja vastupidi</t>
        </r>
      </text>
    </comment>
    <comment ref="C29" authorId="1" shapeId="0" xr:uid="{00000000-0006-0000-1000-000003000000}">
      <text>
        <r>
          <rPr>
            <sz val="12"/>
            <color indexed="81"/>
            <rFont val="Tahoma"/>
            <family val="2"/>
          </rPr>
          <t xml:space="preserve">Kujundid võivad paikneda mitmes kihis ja katta osaliselt või täielikult üksteist. On võimalik muuta kujundite  kihtide järjekorda, Kasutades korraldust </t>
        </r>
        <r>
          <rPr>
            <b/>
            <sz val="12"/>
            <color indexed="12"/>
            <rFont val="Tahoma"/>
            <family val="2"/>
          </rPr>
          <t>Draw/Order</t>
        </r>
        <r>
          <rPr>
            <sz val="12"/>
            <color indexed="81"/>
            <rFont val="Tahoma"/>
            <family val="2"/>
          </rPr>
          <t xml:space="preserve">
Kujundi toomine esiplaanile (ülesse) - </t>
        </r>
        <r>
          <rPr>
            <b/>
            <sz val="12"/>
            <color indexed="12"/>
            <rFont val="Tahoma"/>
            <family val="2"/>
          </rPr>
          <t>Bring to Front</t>
        </r>
        <r>
          <rPr>
            <sz val="12"/>
            <color indexed="81"/>
            <rFont val="Tahoma"/>
            <family val="2"/>
          </rPr>
          <t xml:space="preserve">
Kujundi saatmine tahaplanile (alla) - </t>
        </r>
        <r>
          <rPr>
            <b/>
            <sz val="12"/>
            <color indexed="12"/>
            <rFont val="Tahoma"/>
            <family val="2"/>
          </rPr>
          <t>Send to Back</t>
        </r>
        <r>
          <rPr>
            <sz val="12"/>
            <color indexed="81"/>
            <rFont val="Tahoma"/>
            <family val="2"/>
          </rPr>
          <t xml:space="preserve">
Kujundi tõstmine ühe astme võrra ülespoole - </t>
        </r>
        <r>
          <rPr>
            <b/>
            <sz val="12"/>
            <color indexed="12"/>
            <rFont val="Tahoma"/>
            <family val="2"/>
          </rPr>
          <t>Bring Forward</t>
        </r>
        <r>
          <rPr>
            <sz val="12"/>
            <color indexed="81"/>
            <rFont val="Tahoma"/>
            <family val="2"/>
          </rPr>
          <t xml:space="preserve">
Kujundi saatmine ühe astme võrra allapoole -</t>
        </r>
        <r>
          <rPr>
            <b/>
            <sz val="12"/>
            <color indexed="12"/>
            <rFont val="Tahoma"/>
            <family val="2"/>
          </rPr>
          <t xml:space="preserve"> Send Backward</t>
        </r>
        <r>
          <rPr>
            <sz val="12"/>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Irina Amitan</author>
  </authors>
  <commentList>
    <comment ref="B3" authorId="0" shapeId="0" xr:uid="{00000000-0006-0000-1200-000001000000}">
      <text>
        <r>
          <rPr>
            <b/>
            <sz val="10"/>
            <color indexed="12"/>
            <rFont val="Tahoma"/>
            <family val="2"/>
            <charset val="186"/>
          </rPr>
          <t>MS Equation</t>
        </r>
        <r>
          <rPr>
            <sz val="10"/>
            <color indexed="81"/>
            <rFont val="Tahoma"/>
            <family val="2"/>
            <charset val="186"/>
          </rPr>
          <t xml:space="preserve"> on MS Office lisa programm. Seda saab kasutada erinavates rakendusprogrammides: </t>
        </r>
        <r>
          <rPr>
            <b/>
            <sz val="10"/>
            <color indexed="81"/>
            <rFont val="Tahoma"/>
            <family val="2"/>
            <charset val="186"/>
          </rPr>
          <t>Excel</t>
        </r>
        <r>
          <rPr>
            <sz val="10"/>
            <color indexed="81"/>
            <rFont val="Tahoma"/>
            <family val="2"/>
            <charset val="186"/>
          </rPr>
          <t>,</t>
        </r>
        <r>
          <rPr>
            <b/>
            <sz val="10"/>
            <color indexed="81"/>
            <rFont val="Tahoma"/>
            <family val="2"/>
            <charset val="186"/>
          </rPr>
          <t xml:space="preserve"> Word</t>
        </r>
        <r>
          <rPr>
            <sz val="10"/>
            <color indexed="81"/>
            <rFont val="Tahoma"/>
            <family val="2"/>
            <charset val="186"/>
          </rPr>
          <t xml:space="preserve"> jm. Redaktor võimaldab teha suvalisi valemeid, mis võivad sisaldada erinevaid sümboleid, mida ei ole klaviatuuril. Redaktor käivitakse korraldusega: 
  </t>
        </r>
        <r>
          <rPr>
            <b/>
            <sz val="10"/>
            <color indexed="81"/>
            <rFont val="Tahoma"/>
            <family val="2"/>
            <charset val="186"/>
          </rPr>
          <t>Insert / Object... Microsoft Equation 3.0</t>
        </r>
        <r>
          <rPr>
            <sz val="10"/>
            <color indexed="81"/>
            <rFont val="Tahoma"/>
            <family val="2"/>
            <charset val="186"/>
          </rPr>
          <t xml:space="preserve">
Redaktori liides asendab ajutiselt baasrakenduse (</t>
        </r>
        <r>
          <rPr>
            <b/>
            <sz val="10"/>
            <color indexed="81"/>
            <rFont val="Tahoma"/>
            <family val="2"/>
            <charset val="186"/>
          </rPr>
          <t>Excel, Word</t>
        </r>
        <r>
          <rPr>
            <sz val="10"/>
            <color indexed="81"/>
            <rFont val="Tahoma"/>
            <family val="2"/>
            <charset val="186"/>
          </rPr>
          <t xml:space="preserve"> jm) liidese. Tekkib tekstiboksi taoline boks valemi sisestamiseks ning kuvatakse spetsiaalne tööriistakast, mis sisaldab nuppe erinevate sümbolite lisamiseks. Nupud on paigutatud grupidesse. Avades vastava grupi saab valida vajaliku märgi nupu.
Kui klõpsata ekraani väljaspool valemiboksi, pöördutakse tagasi baasrakendusse.
Topeltklõps valemil käivitab redaktori ja valemit saab muuta</t>
        </r>
        <r>
          <rPr>
            <sz val="8"/>
            <color indexed="81"/>
            <rFont val="Tahoma"/>
            <family val="2"/>
            <charset val="204"/>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<sst xmlns="http://schemas.openxmlformats.org/spreadsheetml/2006/main" count="438" uniqueCount="335">
  <si>
    <t>a</t>
  </si>
  <si>
    <t>b</t>
  </si>
  <si>
    <t>n</t>
  </si>
  <si>
    <t>h</t>
  </si>
  <si>
    <t>x</t>
  </si>
  <si>
    <t>y</t>
  </si>
  <si>
    <t>z</t>
  </si>
  <si>
    <t>aa</t>
  </si>
  <si>
    <t>bb</t>
  </si>
  <si>
    <t>nn</t>
  </si>
  <si>
    <t>hh</t>
  </si>
  <si>
    <t>Müüja / Kaup</t>
  </si>
  <si>
    <t>jahu</t>
  </si>
  <si>
    <t>manna</t>
  </si>
  <si>
    <t>riis</t>
  </si>
  <si>
    <t>suhkur</t>
  </si>
  <si>
    <t>Kokku</t>
  </si>
  <si>
    <t>Kask</t>
  </si>
  <si>
    <t>Paju</t>
  </si>
  <si>
    <t>Saar</t>
  </si>
  <si>
    <t>Tamm</t>
  </si>
  <si>
    <t>Teege  sarnased kujundid  ning midagi enda valikul</t>
  </si>
  <si>
    <r>
      <t>Curve</t>
    </r>
    <r>
      <rPr>
        <sz val="12"/>
        <rFont val="Arial"/>
        <family val="2"/>
        <charset val="186"/>
      </rPr>
      <t xml:space="preserve"> - kõverjoon</t>
    </r>
  </si>
  <si>
    <r>
      <t>Freeform</t>
    </r>
    <r>
      <rPr>
        <sz val="12"/>
        <rFont val="Arial"/>
        <family val="2"/>
        <charset val="186"/>
      </rPr>
      <t xml:space="preserve"> - vabavorm</t>
    </r>
  </si>
  <si>
    <t>Kihid</t>
  </si>
  <si>
    <t>Joonistada detail ja selle ristlõige</t>
  </si>
  <si>
    <t>Tehke antud pildi alusel skeem</t>
  </si>
  <si>
    <t>Valemiredaktori abil MS Equation 3.0 luua järgmised valemid:</t>
  </si>
  <si>
    <t>Diagrammid</t>
  </si>
  <si>
    <t>p</t>
  </si>
  <si>
    <t>Kogus</t>
  </si>
  <si>
    <t>Kaup</t>
  </si>
  <si>
    <t>Suhkur</t>
  </si>
  <si>
    <t>Riis</t>
  </si>
  <si>
    <t>Jahu</t>
  </si>
  <si>
    <t>Tatar</t>
  </si>
  <si>
    <t>Sool</t>
  </si>
  <si>
    <t>Pipar</t>
  </si>
  <si>
    <t>Manna</t>
  </si>
  <si>
    <t>Tabel 2</t>
  </si>
  <si>
    <t>Tabel 1. Toidukaupade müük</t>
  </si>
  <si>
    <t>Tabel 2.  Kaupade müügid</t>
  </si>
  <si>
    <t>Avaldised ja -funktsioonid</t>
  </si>
  <si>
    <t>Ülesanne</t>
  </si>
  <si>
    <t>Saal</t>
  </si>
  <si>
    <t>ridu</t>
  </si>
  <si>
    <t>kohti reas</t>
  </si>
  <si>
    <t>hinnaklasse</t>
  </si>
  <si>
    <t>kohti igas klassis</t>
  </si>
  <si>
    <t>Nädala kalender</t>
  </si>
  <si>
    <t>Hinnaklassid</t>
  </si>
  <si>
    <t>Eelarve</t>
  </si>
  <si>
    <t>Päevad</t>
  </si>
  <si>
    <t>Etendus</t>
  </si>
  <si>
    <t>Liik</t>
  </si>
  <si>
    <t>Esmaspäev</t>
  </si>
  <si>
    <t>Kontsert</t>
  </si>
  <si>
    <t>Teisipäev</t>
  </si>
  <si>
    <t>Lõbus lesk</t>
  </si>
  <si>
    <t>Kolmapäev</t>
  </si>
  <si>
    <t>Luikede järv</t>
  </si>
  <si>
    <t>Neljapäev</t>
  </si>
  <si>
    <t>Don Giovanni</t>
  </si>
  <si>
    <t>Reede</t>
  </si>
  <si>
    <t>Romeo ja Julia</t>
  </si>
  <si>
    <t>Laupäev</t>
  </si>
  <si>
    <t>Pühapäev</t>
  </si>
  <si>
    <t>Tuhkatriinu</t>
  </si>
  <si>
    <t>Kokku:</t>
  </si>
  <si>
    <t>Lubatud variatsioon</t>
  </si>
  <si>
    <t>Arvestatav päev</t>
  </si>
  <si>
    <t>Kui päev on Neljapäev, siis</t>
  </si>
  <si>
    <t>Tegelik</t>
  </si>
  <si>
    <t>Tegelikult ostetud piletite arv</t>
  </si>
  <si>
    <t>Tegelik käive</t>
  </si>
  <si>
    <t>Tegelik käive kokku valitud päeval</t>
  </si>
  <si>
    <t>Eelarve käive kokku valitud päeval</t>
  </si>
  <si>
    <t>Analüüs:</t>
  </si>
  <si>
    <r>
      <t xml:space="preserve">  </t>
    </r>
    <r>
      <rPr>
        <b/>
        <sz val="11"/>
        <rFont val="Arial"/>
        <family val="2"/>
        <charset val="186"/>
      </rPr>
      <t>Diagramm peaks olema selline (konkreetsed andmed sõltuvad valitud päevast):</t>
    </r>
  </si>
  <si>
    <t>Piletihinnad iga hinnaklassi kohta kokku, sõltuvalt etenduse liigist</t>
  </si>
  <si>
    <t>Piletihinnad</t>
  </si>
  <si>
    <t>Piletihinnad terve hinnaklassi kohta</t>
  </si>
  <si>
    <t>Etenduseliik</t>
  </si>
  <si>
    <t>Ooper</t>
  </si>
  <si>
    <t>Ballett</t>
  </si>
  <si>
    <t>Operett</t>
  </si>
  <si>
    <t>Muu zhanr</t>
  </si>
  <si>
    <t>Nabucco</t>
  </si>
  <si>
    <t>Tosca</t>
  </si>
  <si>
    <t>Padaemand</t>
  </si>
  <si>
    <t>La traviata</t>
  </si>
  <si>
    <t>Viini veri</t>
  </si>
  <si>
    <t>Pähklipureja</t>
  </si>
  <si>
    <t>Coppelia</t>
  </si>
  <si>
    <t>Uinuv kaunitar</t>
  </si>
  <si>
    <t>Lasteetendus</t>
  </si>
  <si>
    <t xml:space="preserve"> Juudit</t>
  </si>
  <si>
    <t>algus</t>
  </si>
  <si>
    <t>lõpp</t>
  </si>
  <si>
    <t>jaotisi</t>
  </si>
  <si>
    <t>samm</t>
  </si>
  <si>
    <r>
      <t>y</t>
    </r>
    <r>
      <rPr>
        <b/>
        <vertAlign val="subscript"/>
        <sz val="12"/>
        <rFont val="Arial"/>
        <family val="2"/>
      </rPr>
      <t>min</t>
    </r>
  </si>
  <si>
    <r>
      <t>y</t>
    </r>
    <r>
      <rPr>
        <b/>
        <vertAlign val="subscript"/>
        <sz val="12"/>
        <rFont val="Arial"/>
        <family val="2"/>
      </rPr>
      <t>max</t>
    </r>
  </si>
  <si>
    <r>
      <t>z</t>
    </r>
    <r>
      <rPr>
        <b/>
        <vertAlign val="subscript"/>
        <sz val="12"/>
        <rFont val="Arial"/>
        <family val="2"/>
      </rPr>
      <t>kesk</t>
    </r>
  </si>
  <si>
    <t>Kaubaartikkel</t>
  </si>
  <si>
    <t>Kauba nimetus</t>
  </si>
  <si>
    <t>Hind</t>
  </si>
  <si>
    <t>Maksumus</t>
  </si>
  <si>
    <t>Kaupade hinnakiri</t>
  </si>
  <si>
    <t>Artikkel</t>
  </si>
  <si>
    <t>Nimetus</t>
  </si>
  <si>
    <t>Hind käibemaksuga</t>
  </si>
  <si>
    <t>AP&amp;KO Pasteet (maks+liha) 250g</t>
  </si>
  <si>
    <t>AP&amp;KO Pasteet kanaliha 250g</t>
  </si>
  <si>
    <t>AP&amp;KO Pasteet kanamaksa 250g</t>
  </si>
  <si>
    <t>AP&amp;KO Pasteet maksa 250g</t>
  </si>
  <si>
    <t>AP&amp;KO Pasteet veiseliha 250g</t>
  </si>
  <si>
    <t>AROMA margariin 400g</t>
  </si>
  <si>
    <t>BELETTE määrdejuust küüslauguga 250g</t>
  </si>
  <si>
    <t>BELETTE määrdejuust naturaalne 250g</t>
  </si>
  <si>
    <t>BELETTE määrdejuust paprika-ürdi 250g</t>
  </si>
  <si>
    <t>BORDS EVE margariin 250g</t>
  </si>
  <si>
    <t>Bosto riis 1kg 8*125g</t>
  </si>
  <si>
    <t>Bosto riis 500g 4*125</t>
  </si>
  <si>
    <t>Bosto riis Mediterrano 2*250g</t>
  </si>
  <si>
    <t>Bosto riis pruun 4*125g</t>
  </si>
  <si>
    <t>BV Aeduba Veski Mati 1kg</t>
  </si>
  <si>
    <t>BV Hernes 500g</t>
  </si>
  <si>
    <t>BV Hernes lihvimata 1kg</t>
  </si>
  <si>
    <t>BV Hirss Veski Mati 1kg</t>
  </si>
  <si>
    <t>BV Kiirkaerahelbed 400g</t>
  </si>
  <si>
    <t>BV Makar. Keerdmakaron 500g</t>
  </si>
  <si>
    <t>BV Makar. Sarveke 500g</t>
  </si>
  <si>
    <t>BV Makar. Spaghetti 500g</t>
  </si>
  <si>
    <t>BV Makar. Spiraalid 500g</t>
  </si>
  <si>
    <t>BV Makar. Vermicelli 500g</t>
  </si>
  <si>
    <t>BV Puder 4-vilja 500g</t>
  </si>
  <si>
    <t>CERBONA 500g Keerdmak.</t>
  </si>
  <si>
    <t>CERBONA 500g Makaron</t>
  </si>
  <si>
    <t>CERBONA 500g Salatimak.</t>
  </si>
  <si>
    <t>CremeB kreveti 170g</t>
  </si>
  <si>
    <t>CremeB küüslaugu 100g</t>
  </si>
  <si>
    <t>CremeB küüslaugu 170g</t>
  </si>
  <si>
    <t>CremeB murulaugu 170g</t>
  </si>
  <si>
    <t>CremeB murulaugu 250g</t>
  </si>
  <si>
    <t>CremeB naturell 250g</t>
  </si>
  <si>
    <t>DELMA margariin 250g karbis</t>
  </si>
  <si>
    <t>DELMA margariin 250g paberis</t>
  </si>
  <si>
    <t>DELMA margariin 500g</t>
  </si>
  <si>
    <t>EHRMANNJogurt Extra metsm/aprik.125g</t>
  </si>
  <si>
    <t>EHRMANNJogurt Extra must/virsik 125g</t>
  </si>
  <si>
    <t>EHRMANNJogurt Extra õ-pirni/maasika</t>
  </si>
  <si>
    <t>Fariinisuhkur pruun Apetit 500g</t>
  </si>
  <si>
    <t>Fruktoossuhkur 500 g</t>
  </si>
  <si>
    <t>HUSHALLS EVE küpsetusmargariin 1kg</t>
  </si>
  <si>
    <t>Juustuviiliud Chester 150g</t>
  </si>
  <si>
    <t>Juustuviilud Emmentaler 150g</t>
  </si>
  <si>
    <t>Juustuviilud Sandwich 150g</t>
  </si>
  <si>
    <t>Juustuviilud Toast 150g</t>
  </si>
  <si>
    <t>Kohvikoor 12%  10*10g</t>
  </si>
  <si>
    <t>Kond.piim kakaoga 400g Läti</t>
  </si>
  <si>
    <t>Kond.piim kohviga 400g Läti</t>
  </si>
  <si>
    <t>Kooreasendaja CARMEN 100g</t>
  </si>
  <si>
    <t>Kooreasendaja CEBE 250g</t>
  </si>
  <si>
    <t>LESIEUR Taimeõli 1l</t>
  </si>
  <si>
    <t>Mega Taimeõli 1l</t>
  </si>
  <si>
    <t>MIKAADO Tuhksuhkur kollane 100g</t>
  </si>
  <si>
    <t>MIKAADO Tuhksuhkur oranz 100g</t>
  </si>
  <si>
    <t>MIKAADO Tuhksuhkur roheline 100g</t>
  </si>
  <si>
    <t>NORDIC Kaerahelv.kliidega 600g</t>
  </si>
  <si>
    <t>NORDIC Kartulipuder 210g</t>
  </si>
  <si>
    <t>NORDIC Laste 4-viljapuder 2*80g</t>
  </si>
  <si>
    <t>NORDIC Laste kaerapuder 2*80g</t>
  </si>
  <si>
    <t>NORDIC Laste Kibuvitsa/meepuder 2*80g</t>
  </si>
  <si>
    <t>NORDIC Laste metsamarjapuder 2*80g</t>
  </si>
  <si>
    <t>NORDIC Manna 1kg</t>
  </si>
  <si>
    <t>NORDIC Nisuhelbed 700 g</t>
  </si>
  <si>
    <t>NORDIC Puder 4-vilja 700g</t>
  </si>
  <si>
    <t>NORDIC Riisihelbed 800 g</t>
  </si>
  <si>
    <t>NORDIC Rukkihelbed 700g</t>
  </si>
  <si>
    <t>OLIVIA rapsiõli 1l</t>
  </si>
  <si>
    <t>PASTA ZARA keerd nr.61</t>
  </si>
  <si>
    <t>PASTA ZARA lipsud</t>
  </si>
  <si>
    <t>PASTA ZARA sarv nr.27</t>
  </si>
  <si>
    <t>PASTA ZARA spiraal nr.57</t>
  </si>
  <si>
    <t>Raesuhkur 250g APETIT</t>
  </si>
  <si>
    <t>RAMA margariin 400g</t>
  </si>
  <si>
    <t>RISSO Oliiviõli Extra Virgin 0,5l</t>
  </si>
  <si>
    <t>RISSO päevalilleõli 1l</t>
  </si>
  <si>
    <t>RISSO sojaõli 1l</t>
  </si>
  <si>
    <t>RISSO taimeõli 1l</t>
  </si>
  <si>
    <t>RISSO toiduõli 1l</t>
  </si>
  <si>
    <t>RUNDA BORDS margariin 400g</t>
  </si>
  <si>
    <t>SAMARIN apelsini 18tk</t>
  </si>
  <si>
    <t>SAMARIN looduslik 18tk</t>
  </si>
  <si>
    <t>Soome suhkur 1kg</t>
  </si>
  <si>
    <t>Suhkruasendaja  Huxol vedel 200g</t>
  </si>
  <si>
    <t>Suhkruasendaja CANDEREL (100 tabl)</t>
  </si>
  <si>
    <t>Sul.juust Merevaik paprikaga 100g</t>
  </si>
  <si>
    <t>Sul.juust Merevaik salaami 200gr</t>
  </si>
  <si>
    <t>Sul.juust Merevaik salaamiga 100g</t>
  </si>
  <si>
    <t>Sul.juust Merevaik shampinjonidega 100g</t>
  </si>
  <si>
    <t>Sul.juust Merevaik singiga 100g</t>
  </si>
  <si>
    <t>Sul.juust Merevaik tilliga 100g</t>
  </si>
  <si>
    <t>Sul.juust MIX 200 g</t>
  </si>
  <si>
    <t>TORINO sarveke 400 g</t>
  </si>
  <si>
    <t>TORINO spiraal  400 g</t>
  </si>
  <si>
    <t>Tükisuhkur tume Apetit 500g</t>
  </si>
  <si>
    <t>UNCLE BEN`S 10min k.riis 250g</t>
  </si>
  <si>
    <t>UNCLE BEN`S 20min pik.riis 500</t>
  </si>
  <si>
    <t>VALDO riis Basmati 0,5kg</t>
  </si>
  <si>
    <t>VALDO riis Ekstra 0,5kg</t>
  </si>
  <si>
    <t>VILLA ITALIA Makar. Cavatappi 50</t>
  </si>
  <si>
    <t>VILLA ITALIA Makar. Ditali 500g</t>
  </si>
  <si>
    <t>VILLA ITALIA Makar. Farfalle 500 LIPS</t>
  </si>
  <si>
    <t>VILLA ITALIA Makar. Fusilli</t>
  </si>
  <si>
    <t>VILLA ITALIA Makar. Gnocchi 500g</t>
  </si>
  <si>
    <t>VILLA ITALIA Makar. Lasagne laast</t>
  </si>
  <si>
    <t>VILLA ITALIA Makar. Lumachine sar</t>
  </si>
  <si>
    <t>VILLA ITALIA Makar. Penne ziti rigate</t>
  </si>
  <si>
    <t>VILLA ITALIA Makar. Semi di cicoria</t>
  </si>
  <si>
    <t>VILLA ITALIA Makar. Spaghetti 500</t>
  </si>
  <si>
    <t>VILMA Tuhksuhkur 300g</t>
  </si>
  <si>
    <t>VOIMIX margariin 400g</t>
  </si>
  <si>
    <t>VONK Juustuviilud Creamy 150 g</t>
  </si>
  <si>
    <t>VONK Juustuviilud Dutch 150 g</t>
  </si>
  <si>
    <t>VONK Juustuviilud Mild 150g</t>
  </si>
  <si>
    <t>VONK Juustuviilud natural 150g</t>
  </si>
  <si>
    <t>Aegread</t>
  </si>
  <si>
    <t>Moment- ja perioodread</t>
  </si>
  <si>
    <t>Juurdekasvud ja kasvutempod</t>
  </si>
  <si>
    <t xml:space="preserve">Aegrea väärtused on alati järjestatud ja </t>
  </si>
  <si>
    <t>Aegread jagunevad kahte klassi:</t>
  </si>
  <si>
    <t xml:space="preserve">• Absoluutne juurdekasv on aegrea kahe väärtuse </t>
  </si>
  <si>
    <t>selle muutmine ei ole lubatud.</t>
  </si>
  <si>
    <t xml:space="preserve">• momentread – iga element on seotud teatud </t>
  </si>
  <si>
    <t>vahe</t>
  </si>
  <si>
    <t>Tunnuste liigitus:</t>
  </si>
  <si>
    <t>ajamomendiga</t>
  </si>
  <si>
    <t>• Juurdekasvutempo ehk suhteline juurdekasv</t>
  </si>
  <si>
    <t xml:space="preserve">• varusuurused – väärtuse saab leida mingi </t>
  </si>
  <si>
    <t xml:space="preserve">• perioodread – iga element on seotud mingi </t>
  </si>
  <si>
    <t>on absoluutse juurdekasvu ja suuruse väärtuse</t>
  </si>
  <si>
    <t xml:space="preserve">ajamomendi jaoks (nt kauba hind, rahvaarv, </t>
  </si>
  <si>
    <t>ajavahemikuga, perioodiga</t>
  </si>
  <si>
    <t xml:space="preserve">jagatis. </t>
  </si>
  <si>
    <t>temperatuur jm)</t>
  </si>
  <si>
    <t>− võrdperioodsed – ajamomentide vahed on võrdsed</t>
  </si>
  <si>
    <t>Jagatakse eelmise või vaadeldava perioodi väärtusega:</t>
  </si>
  <si>
    <t xml:space="preserve">• voosuurused – väärtus esineb mingi ajaperioodi </t>
  </si>
  <si>
    <t>− mittevõrdperioodsed – vahed ei ole võrdsed</t>
  </si>
  <si>
    <t xml:space="preserve">− aheljuurdekasvutempo </t>
  </si>
  <si>
    <t>jaoks (nt kulud, tulud, sündide/surmade arv jm)</t>
  </si>
  <si>
    <t>Momentreast võib saada perioodrea:</t>
  </si>
  <si>
    <t>− tagasivaatav aheljuurdekasvutempo</t>
  </si>
  <si>
    <t xml:space="preserve">• intensiivsussuurused on erinevate varu- ja </t>
  </si>
  <si>
    <t xml:space="preserve">• rahvaarvud erinevatel aastatel on momentrida, </t>
  </si>
  <si>
    <t>• Kasvutempo ehk indeks on nähtust</t>
  </si>
  <si>
    <t>voosuuruste suhted (nt tööviljakus, kasvutempo)</t>
  </si>
  <si>
    <t>rahvaarvu muutus on perioodrida.</t>
  </si>
  <si>
    <t xml:space="preserve">iseloomustava arvväärtuse suhe mingi eelmisel </t>
  </si>
  <si>
    <t xml:space="preserve">• elektrienergia arvesti näidu muutumine ajas on </t>
  </si>
  <si>
    <t xml:space="preserve">ajamomendil (või perioodil) olnud arvväärtusesse. </t>
  </si>
  <si>
    <t>momentrida. Selle alusel saadud elektrienergia</t>
  </si>
  <si>
    <t xml:space="preserve">NB! juurdekasvude arv on ühe võrra väiksem </t>
  </si>
  <si>
    <t xml:space="preserve">kulu tunnis (päevas, kuus) on perioodrida. </t>
  </si>
  <si>
    <t>rea väärtuste arvust ehk aegrea pikkusest</t>
  </si>
  <si>
    <t>Aegridade keskmised</t>
  </si>
  <si>
    <t>Ahel- ja alusjuurdekasv</t>
  </si>
  <si>
    <t xml:space="preserve">Keskmise taseme määramine sõltub sellest, kas </t>
  </si>
  <si>
    <t xml:space="preserve">➢ Aheljuurdekasv, -kasvutempo või -indeks on </t>
  </si>
  <si>
    <t xml:space="preserve">tegemist on periood- või momentreaga. </t>
  </si>
  <si>
    <t>muutus aegrea eelmise elemendiga võrreldes</t>
  </si>
  <si>
    <t xml:space="preserve">• Perioodridade korral kasutatakse keskmiste </t>
  </si>
  <si>
    <t>➢ Alusjuurdekasv, -kasvutempo või -indeks on muutus</t>
  </si>
  <si>
    <t xml:space="preserve">tasemete leidmiseks aritmeetilist keskmist. </t>
  </si>
  <si>
    <t xml:space="preserve">mingi muu aluseks võetud momendi või perioodi </t>
  </si>
  <si>
    <t xml:space="preserve">• Pideva suuruse momentrea korral kasutatakse </t>
  </si>
  <si>
    <t>(baasi) suhtes</t>
  </si>
  <si>
    <t xml:space="preserve">kronoloogilist keskmist, mis on momentreast </t>
  </si>
  <si>
    <t>Ajas toimuvate muutuste iseloomustamisel kasutatakse:</t>
  </si>
  <si>
    <t xml:space="preserve">leitud perioodrea keskmiste aritmeetiline </t>
  </si>
  <si>
    <t>• absoluutne ahel- ja alusjuurdekasv</t>
  </si>
  <si>
    <t>keskmine.</t>
  </si>
  <si>
    <t xml:space="preserve">• suhteline ahel- ja alusjuurdekasv ehk </t>
  </si>
  <si>
    <t xml:space="preserve">− Perioodi keskmine on perioodi alg- ja </t>
  </si>
  <si>
    <t>juurdekasvutempo</t>
  </si>
  <si>
    <t>lõppmomendi väärtuste aritmeetiline keskmine.</t>
  </si>
  <si>
    <t>• suhteline ahel- ja aluskasvutempo ehk indeks</t>
  </si>
  <si>
    <t xml:space="preserve">− Seejärel leitakse perioodide keskmiste </t>
  </si>
  <si>
    <t xml:space="preserve">NB! juurdekasv ja juurdekasvutempo võivad olla nii </t>
  </si>
  <si>
    <t>aritmeetiline keskmine.</t>
  </si>
  <si>
    <t>positiivsed kui ka negatiivsed;</t>
  </si>
  <si>
    <t>kasvutempot tuleb võrrelda arvuga 1.</t>
  </si>
  <si>
    <t>Funktsioonide tabuleerimine ja graafikud.</t>
  </si>
  <si>
    <t>Joonistamine</t>
  </si>
  <si>
    <t>Konnektorid ja skeemid</t>
  </si>
  <si>
    <t>Valemiredaktor</t>
  </si>
  <si>
    <t>Nimi</t>
  </si>
  <si>
    <t>Sünniaeg</t>
  </si>
  <si>
    <t>Matvei Igonen</t>
  </si>
  <si>
    <t>Sergei Lepmets</t>
  </si>
  <si>
    <t>Mihkel Aksalu</t>
  </si>
  <si>
    <t>Karol Mets</t>
  </si>
  <si>
    <t>Joonas Tamm</t>
  </si>
  <si>
    <t>Madis Vihmann</t>
  </si>
  <si>
    <t>Ragnar Klavan</t>
  </si>
  <si>
    <t>Taijo Teniste</t>
  </si>
  <si>
    <t>Gert Kams</t>
  </si>
  <si>
    <t>Märten Kuusk</t>
  </si>
  <si>
    <t>Artur Pikk</t>
  </si>
  <si>
    <t>Ken Kallaste</t>
  </si>
  <si>
    <t>Aleksandr Dmitrijev</t>
  </si>
  <si>
    <t>Konstantin Vassiljev</t>
  </si>
  <si>
    <t>Vladislav Kreida</t>
  </si>
  <si>
    <t>Mattias Käit</t>
  </si>
  <si>
    <t>Mihkel Ainsalu</t>
  </si>
  <si>
    <t>Vlasiy Sinyavskiy</t>
  </si>
  <si>
    <t>Frank Liivak</t>
  </si>
  <si>
    <t>Henrik Ojamaa</t>
  </si>
  <si>
    <t>Erik Sorga</t>
  </si>
  <si>
    <t>Sergei Zenjov</t>
  </si>
  <si>
    <t>Rauno Sappinen</t>
  </si>
  <si>
    <t>Vanus</t>
  </si>
  <si>
    <t>Vanusegrupp</t>
  </si>
  <si>
    <t>Mitu</t>
  </si>
  <si>
    <t>20 ja nooremad</t>
  </si>
  <si>
    <t>21-25</t>
  </si>
  <si>
    <t>26-30</t>
  </si>
  <si>
    <t>üle 30</t>
  </si>
  <si>
    <t>Loendus kogusummast Vanus</t>
  </si>
  <si>
    <t>Täna</t>
  </si>
  <si>
    <t>Row Labels</t>
  </si>
  <si>
    <t>Grand Total</t>
  </si>
  <si>
    <t>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</si>
</sst>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_-* #,##0.00\ &quot;kr&quot;_-;\-* #,##0.00\ &quot;kr&quot;_-;_-* &quot;-&quot;??\ &quot;kr&quot;_-;_-@_-"/>
    <numFmt numFmtId="167" formatCode="ddd\,\ d/mm/yyyy"/>
    <numFmt numFmtId="168" formatCode="#,##0.00\ &quot;€&quot;"/>
  </numFmts>
  <fonts count="56" x14ac:knownFonts="1">
    <font>
      <sz val="11"/>
      <color theme="1"/>
      <name val="Calibri"/>
      <family val="2"/>
      <charset val="186"/>
      <scheme val="minor"/>
    </font>
    <font>
      <sz val="10"/>
      <name val="Arial"/>
      <family val="2"/>
      <charset val="204"/>
    </font>
    <font>
      <b/>
      <sz val="10"/>
      <name val="Arial"/>
      <family val="2"/>
      <charset val="186"/>
    </font>
    <font>
      <b/>
      <sz val="10"/>
      <name val="Arial"/>
      <family val="2"/>
    </font>
    <font>
      <sz val="12"/>
      <name val="Arial"/>
      <family val="2"/>
      <charset val="204"/>
    </font>
    <font>
      <u/>
      <sz val="12"/>
      <color indexed="12"/>
      <name val="Arial"/>
      <family val="2"/>
    </font>
    <font>
      <b/>
      <sz val="16"/>
      <name val="Arial"/>
      <family val="2"/>
    </font>
    <font>
      <sz val="12"/>
      <name val="Arial"/>
      <family val="2"/>
      <charset val="186"/>
    </font>
    <font>
      <b/>
      <sz val="14"/>
      <color indexed="12"/>
      <name val="Arial"/>
      <family val="2"/>
    </font>
    <font>
      <b/>
      <sz val="18"/>
      <color indexed="12"/>
      <name val="Arial"/>
      <family val="2"/>
    </font>
    <font>
      <b/>
      <sz val="12"/>
      <name val="Arial"/>
      <family val="2"/>
      <charset val="186"/>
    </font>
    <font>
      <b/>
      <sz val="12"/>
      <name val="Arial"/>
      <family val="2"/>
    </font>
    <font>
      <sz val="12"/>
      <color indexed="8"/>
      <name val="Tahoma"/>
      <family val="2"/>
      <charset val="186"/>
    </font>
    <font>
      <b/>
      <sz val="12"/>
      <color indexed="12"/>
      <name val="Tahoma"/>
      <family val="2"/>
      <charset val="186"/>
    </font>
    <font>
      <b/>
      <sz val="12"/>
      <color indexed="8"/>
      <name val="Tahoma"/>
      <family val="2"/>
    </font>
    <font>
      <b/>
      <sz val="12"/>
      <color indexed="8"/>
      <name val="Tahoma"/>
      <family val="2"/>
      <charset val="186"/>
    </font>
    <font>
      <b/>
      <sz val="12"/>
      <color indexed="10"/>
      <name val="Tahoma"/>
      <family val="2"/>
    </font>
    <font>
      <b/>
      <sz val="12"/>
      <color indexed="12"/>
      <name val="Tahoma"/>
      <family val="2"/>
    </font>
    <font>
      <sz val="12"/>
      <color indexed="81"/>
      <name val="Tahoma"/>
      <family val="2"/>
    </font>
    <font>
      <sz val="14"/>
      <name val="Arial"/>
      <family val="2"/>
      <charset val="204"/>
    </font>
    <font>
      <sz val="14"/>
      <color indexed="12"/>
      <name val="Arial"/>
      <family val="2"/>
      <charset val="204"/>
    </font>
    <font>
      <sz val="10"/>
      <color indexed="12"/>
      <name val="Arial"/>
      <family val="2"/>
      <charset val="204"/>
    </font>
    <font>
      <sz val="14"/>
      <name val="Arial"/>
      <family val="2"/>
      <charset val="186"/>
    </font>
    <font>
      <sz val="10"/>
      <name val="Arial"/>
      <family val="2"/>
      <charset val="186"/>
    </font>
    <font>
      <b/>
      <sz val="10"/>
      <color indexed="12"/>
      <name val="Tahoma"/>
      <family val="2"/>
      <charset val="186"/>
    </font>
    <font>
      <sz val="10"/>
      <color indexed="81"/>
      <name val="Tahoma"/>
      <family val="2"/>
      <charset val="186"/>
    </font>
    <font>
      <b/>
      <sz val="10"/>
      <color indexed="81"/>
      <name val="Tahoma"/>
      <family val="2"/>
      <charset val="186"/>
    </font>
    <font>
      <sz val="8"/>
      <color indexed="81"/>
      <name val="Tahoma"/>
      <family val="2"/>
      <charset val="204"/>
    </font>
    <font>
      <sz val="14"/>
      <color rgb="FF0000FF"/>
      <name val="Arial"/>
      <family val="2"/>
      <charset val="204"/>
    </font>
    <font>
      <sz val="14"/>
      <name val="Arial"/>
      <family val="2"/>
      <charset val="204"/>
    </font>
    <font>
      <b/>
      <sz val="16"/>
      <color indexed="18"/>
      <name val="Arial"/>
      <family val="2"/>
    </font>
    <font>
      <b/>
      <sz val="14"/>
      <color rgb="FF000080"/>
      <name val="Arial"/>
      <family val="2"/>
    </font>
    <font>
      <b/>
      <u/>
      <sz val="12"/>
      <color indexed="12"/>
      <name val="Arial"/>
      <family val="2"/>
    </font>
    <font>
      <u/>
      <sz val="10"/>
      <color indexed="12"/>
      <name val="Arial"/>
      <family val="2"/>
      <charset val="204"/>
    </font>
    <font>
      <sz val="11"/>
      <color rgb="FF0000FF"/>
      <name val="Calibri"/>
      <family val="2"/>
      <charset val="186"/>
      <scheme val="minor"/>
    </font>
    <font>
      <sz val="16"/>
      <color rgb="FFC00000"/>
      <name val="Arial"/>
      <family val="2"/>
      <charset val="204"/>
    </font>
    <font>
      <sz val="11"/>
      <color rgb="FFC00000"/>
      <name val="Calibri"/>
      <family val="2"/>
      <charset val="186"/>
      <scheme val="minor"/>
    </font>
    <font>
      <b/>
      <sz val="16"/>
      <color rgb="FFC00000"/>
      <name val="Arial"/>
      <family val="2"/>
      <charset val="204"/>
    </font>
    <font>
      <b/>
      <sz val="16"/>
      <color rgb="FF000080"/>
      <name val="Arial"/>
      <family val="2"/>
    </font>
    <font>
      <b/>
      <sz val="11"/>
      <color rgb="FF000000"/>
      <name val="Calibri"/>
      <family val="2"/>
      <charset val="204"/>
      <scheme val="minor"/>
    </font>
    <font>
      <sz val="11"/>
      <color rgb="FF000000"/>
      <name val="Calibri"/>
      <family val="2"/>
      <charset val="204"/>
      <scheme val="minor"/>
    </font>
    <font>
      <sz val="12"/>
      <color indexed="12"/>
      <name val="Arial"/>
      <family val="2"/>
      <charset val="204"/>
    </font>
    <font>
      <b/>
      <sz val="7"/>
      <name val="Times New Roman"/>
      <family val="1"/>
      <charset val="186"/>
    </font>
    <font>
      <b/>
      <sz val="11"/>
      <name val="Arial"/>
      <family val="2"/>
      <charset val="186"/>
    </font>
    <font>
      <sz val="11"/>
      <color indexed="81"/>
      <name val="Tahoma"/>
      <family val="2"/>
      <charset val="186"/>
    </font>
    <font>
      <b/>
      <sz val="11"/>
      <color indexed="81"/>
      <name val="Tahoma"/>
      <family val="2"/>
      <charset val="186"/>
    </font>
    <font>
      <sz val="9"/>
      <color indexed="81"/>
      <name val="Tahoma"/>
      <family val="2"/>
      <charset val="186"/>
    </font>
    <font>
      <sz val="8"/>
      <color indexed="81"/>
      <name val="Tahoma"/>
      <family val="2"/>
      <charset val="186"/>
    </font>
    <font>
      <b/>
      <sz val="8"/>
      <color indexed="81"/>
      <name val="Tahoma"/>
      <family val="2"/>
      <charset val="204"/>
    </font>
    <font>
      <b/>
      <sz val="14"/>
      <name val="Arial"/>
      <family val="2"/>
      <charset val="186"/>
    </font>
    <font>
      <b/>
      <sz val="16"/>
      <color indexed="12"/>
      <name val="Arial"/>
      <family val="2"/>
    </font>
    <font>
      <b/>
      <vertAlign val="subscript"/>
      <sz val="12"/>
      <name val="Arial"/>
      <family val="2"/>
    </font>
    <font>
      <sz val="14"/>
      <color theme="1"/>
      <name val="Calibri"/>
      <family val="2"/>
      <charset val="186"/>
      <scheme val="minor"/>
    </font>
    <font>
      <sz val="11"/>
      <color rgb="FF000000"/>
      <name val="Calibri"/>
      <family val="2"/>
      <charset val="186"/>
      <scheme val="minor"/>
    </font>
    <font>
      <sz val="14"/>
      <color theme="1"/>
      <name val="Arial"/>
      <family val="2"/>
      <charset val="186"/>
    </font>
    <font>
      <b/>
      <sz val="16"/>
      <color rgb="FFFF0000"/>
      <name val="Arial"/>
      <family val="2"/>
      <charset val="204"/>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41"/>
        <bgColor indexed="64"/>
      </patternFill>
    </fill>
    <fill>
      <patternFill patternType="solid">
        <fgColor theme="2"/>
        <bgColor indexed="64"/>
      </patternFill>
    </fill>
    <fill>
      <patternFill patternType="solid">
        <fgColor rgb="FFFFFFCC"/>
        <bgColor indexed="64"/>
      </patternFill>
    </fill>
    <fill>
      <patternFill patternType="solid">
        <fgColor indexed="22"/>
        <bgColor indexed="64"/>
      </patternFill>
    </fill>
    <fill>
      <patternFill patternType="solid">
        <fgColor rgb="FFEEECE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right/>
      <top/>
      <bottom style="medium">
        <color indexed="64"/>
      </bottom>
      <diagonal/>
    </border>
  </borders>
  <cellStyleXfs count="17">
    <xf numFmtId="0" fontId="0" fillId="0" borderId="0"/>
    <xf numFmtId="0" fontId="1" fillId="0" borderId="0"/>
    <xf numFmtId="0" fontId="4" fillId="0" borderId="0"/>
    <xf numFmtId="0" fontId="6" fillId="0" borderId="0">
      <alignment horizontal="left" vertical="center"/>
    </xf>
    <xf numFmtId="0" fontId="4" fillId="0" borderId="0"/>
    <xf numFmtId="0" fontId="7" fillId="0" borderId="0"/>
    <xf numFmtId="0" fontId="8" fillId="0" borderId="0" applyNumberFormat="0"/>
    <xf numFmtId="0" fontId="9" fillId="0" borderId="0">
      <alignment vertical="center"/>
    </xf>
    <xf numFmtId="0" fontId="29" fillId="0" borderId="0"/>
    <xf numFmtId="0" fontId="4" fillId="0" borderId="0"/>
    <xf numFmtId="0" fontId="4" fillId="0" borderId="0"/>
    <xf numFmtId="0" fontId="32"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166" fontId="1" fillId="0" borderId="0" applyFont="0" applyFill="0" applyBorder="0" applyAlignment="0" applyProtection="0"/>
    <xf numFmtId="0" fontId="7" fillId="0" borderId="0"/>
    <xf numFmtId="0" fontId="1" fillId="0" borderId="0"/>
  </cellStyleXfs>
  <cellXfs count="122">
    <xf numFmtId="0" fontId="0" fillId="0" borderId="0" xfId="0"/>
    <xf numFmtId="0" fontId="2" fillId="2" borderId="1" xfId="1" applyFont="1" applyFill="1" applyBorder="1" applyAlignment="1">
      <alignment horizontal="center"/>
    </xf>
    <xf numFmtId="0" fontId="1" fillId="0" borderId="0" xfId="1"/>
    <xf numFmtId="0" fontId="1" fillId="3" borderId="1" xfId="1" applyFill="1" applyBorder="1" applyAlignment="1">
      <alignment horizontal="center"/>
    </xf>
    <xf numFmtId="0" fontId="1" fillId="4" borderId="1" xfId="1" applyFill="1" applyBorder="1" applyAlignment="1">
      <alignment horizontal="center"/>
    </xf>
    <xf numFmtId="0" fontId="3" fillId="2" borderId="1" xfId="1" applyFont="1" applyFill="1" applyBorder="1"/>
    <xf numFmtId="164" fontId="1" fillId="0" borderId="0" xfId="1" applyNumberFormat="1"/>
    <xf numFmtId="0" fontId="1" fillId="3" borderId="1" xfId="1" applyFill="1" applyBorder="1" applyAlignment="1" applyProtection="1">
      <alignment horizontal="center"/>
      <protection locked="0"/>
    </xf>
    <xf numFmtId="0" fontId="1" fillId="4" borderId="1" xfId="1" applyFill="1" applyBorder="1" applyAlignment="1" applyProtection="1">
      <alignment horizontal="center"/>
      <protection locked="0"/>
    </xf>
    <xf numFmtId="2" fontId="1" fillId="0" borderId="0" xfId="1" applyNumberFormat="1" applyProtection="1">
      <protection locked="0"/>
    </xf>
    <xf numFmtId="165" fontId="1" fillId="0" borderId="0" xfId="1" applyNumberFormat="1" applyProtection="1">
      <protection locked="0" hidden="1"/>
    </xf>
    <xf numFmtId="0" fontId="2" fillId="0" borderId="0" xfId="1" applyFont="1" applyAlignment="1">
      <alignment horizontal="center"/>
    </xf>
    <xf numFmtId="0" fontId="1" fillId="0" borderId="0" xfId="1" applyAlignment="1">
      <alignment horizontal="center"/>
    </xf>
    <xf numFmtId="0" fontId="3" fillId="0" borderId="0" xfId="1" applyFont="1"/>
    <xf numFmtId="0" fontId="2" fillId="5" borderId="1" xfId="1" applyFont="1" applyFill="1" applyBorder="1" applyAlignment="1">
      <alignment horizontal="center"/>
    </xf>
    <xf numFmtId="164" fontId="1" fillId="4" borderId="1" xfId="1" applyNumberFormat="1" applyFill="1" applyBorder="1" applyAlignment="1">
      <alignment horizontal="center"/>
    </xf>
    <xf numFmtId="0" fontId="3" fillId="5" borderId="1" xfId="1" applyFont="1" applyFill="1" applyBorder="1"/>
    <xf numFmtId="0" fontId="4" fillId="0" borderId="0" xfId="2"/>
    <xf numFmtId="0" fontId="2" fillId="5" borderId="1" xfId="2" applyFont="1" applyFill="1" applyBorder="1" applyAlignment="1">
      <alignment horizontal="center"/>
    </xf>
    <xf numFmtId="0" fontId="4" fillId="3" borderId="1" xfId="2" applyFill="1" applyBorder="1" applyAlignment="1" applyProtection="1">
      <alignment horizontal="center"/>
      <protection locked="0"/>
    </xf>
    <xf numFmtId="0" fontId="4" fillId="4" borderId="1" xfId="2" applyFill="1" applyBorder="1" applyAlignment="1" applyProtection="1">
      <alignment horizontal="center"/>
      <protection locked="0"/>
    </xf>
    <xf numFmtId="164" fontId="4" fillId="4" borderId="1" xfId="2" applyNumberFormat="1" applyFill="1" applyBorder="1" applyAlignment="1" applyProtection="1">
      <alignment horizontal="center"/>
      <protection locked="0"/>
    </xf>
    <xf numFmtId="0" fontId="3" fillId="5" borderId="1" xfId="2" applyFont="1" applyFill="1" applyBorder="1"/>
    <xf numFmtId="164" fontId="4" fillId="0" borderId="1" xfId="2" applyNumberFormat="1" applyBorder="1"/>
    <xf numFmtId="0" fontId="3" fillId="2" borderId="2" xfId="1" applyFont="1" applyFill="1" applyBorder="1"/>
    <xf numFmtId="0" fontId="3" fillId="2" borderId="3" xfId="1" applyFont="1" applyFill="1" applyBorder="1"/>
    <xf numFmtId="0" fontId="3" fillId="2" borderId="4" xfId="1" applyFont="1" applyFill="1" applyBorder="1"/>
    <xf numFmtId="0" fontId="3" fillId="2" borderId="5" xfId="1" applyFont="1" applyFill="1" applyBorder="1"/>
    <xf numFmtId="0" fontId="1" fillId="0" borderId="6" xfId="1" applyBorder="1"/>
    <xf numFmtId="0" fontId="1" fillId="0" borderId="7" xfId="1" applyBorder="1"/>
    <xf numFmtId="0" fontId="3" fillId="2" borderId="8" xfId="1" applyFont="1" applyFill="1" applyBorder="1"/>
    <xf numFmtId="0" fontId="1" fillId="0" borderId="9" xfId="1" applyBorder="1"/>
    <xf numFmtId="0" fontId="1" fillId="0" borderId="1" xfId="1" applyBorder="1"/>
    <xf numFmtId="0" fontId="7" fillId="2" borderId="0" xfId="5" applyFill="1"/>
    <xf numFmtId="0" fontId="1" fillId="2" borderId="0" xfId="1" applyFill="1"/>
    <xf numFmtId="0" fontId="7" fillId="0" borderId="0" xfId="5"/>
    <xf numFmtId="0" fontId="10" fillId="3" borderId="0" xfId="5" applyFont="1" applyFill="1"/>
    <xf numFmtId="0" fontId="7" fillId="3" borderId="0" xfId="5" applyFill="1"/>
    <xf numFmtId="0" fontId="1" fillId="3" borderId="0" xfId="1" applyFill="1"/>
    <xf numFmtId="0" fontId="11" fillId="3" borderId="0" xfId="5" applyFont="1" applyFill="1"/>
    <xf numFmtId="0" fontId="10" fillId="3" borderId="0" xfId="1" applyFont="1" applyFill="1"/>
    <xf numFmtId="0" fontId="2" fillId="3" borderId="0" xfId="1" applyFont="1" applyFill="1"/>
    <xf numFmtId="0" fontId="19" fillId="2" borderId="0" xfId="1" applyFont="1" applyFill="1"/>
    <xf numFmtId="0" fontId="20" fillId="0" borderId="0" xfId="1" applyFont="1"/>
    <xf numFmtId="0" fontId="21" fillId="0" borderId="0" xfId="1" applyFont="1"/>
    <xf numFmtId="0" fontId="19" fillId="0" borderId="0" xfId="1" applyFont="1"/>
    <xf numFmtId="0" fontId="22" fillId="2" borderId="0" xfId="4" applyFont="1" applyFill="1"/>
    <xf numFmtId="0" fontId="7" fillId="2" borderId="0" xfId="4" applyFont="1" applyFill="1"/>
    <xf numFmtId="0" fontId="23" fillId="2" borderId="0" xfId="1" applyFont="1" applyFill="1"/>
    <xf numFmtId="0" fontId="23" fillId="0" borderId="0" xfId="1" applyFont="1"/>
    <xf numFmtId="0" fontId="28" fillId="0" borderId="0" xfId="1" applyFont="1"/>
    <xf numFmtId="0" fontId="0" fillId="6" borderId="0" xfId="0" applyFill="1"/>
    <xf numFmtId="0" fontId="30" fillId="6" borderId="0" xfId="9" applyFont="1" applyFill="1"/>
    <xf numFmtId="0" fontId="29" fillId="6" borderId="0" xfId="8" applyFill="1"/>
    <xf numFmtId="0" fontId="34" fillId="6" borderId="0" xfId="0" applyFont="1" applyFill="1"/>
    <xf numFmtId="0" fontId="36" fillId="6" borderId="0" xfId="0" applyFont="1" applyFill="1"/>
    <xf numFmtId="0" fontId="37" fillId="6" borderId="0" xfId="0" applyFont="1" applyFill="1" applyAlignment="1">
      <alignment vertical="center"/>
    </xf>
    <xf numFmtId="0" fontId="35" fillId="6" borderId="0" xfId="0" applyFont="1" applyFill="1" applyAlignment="1">
      <alignment horizontal="left" vertical="center" indent="3"/>
    </xf>
    <xf numFmtId="0" fontId="31" fillId="6" borderId="0" xfId="10" applyFont="1" applyFill="1"/>
    <xf numFmtId="0" fontId="38" fillId="6" borderId="0" xfId="10" applyFont="1" applyFill="1"/>
    <xf numFmtId="0" fontId="39" fillId="8" borderId="1" xfId="0" applyFont="1" applyFill="1" applyBorder="1"/>
    <xf numFmtId="0" fontId="40" fillId="0" borderId="1" xfId="0" applyFont="1" applyBorder="1"/>
    <xf numFmtId="0" fontId="40" fillId="0" borderId="1" xfId="0" applyFont="1" applyBorder="1" applyAlignment="1">
      <alignment horizontal="right"/>
    </xf>
    <xf numFmtId="0" fontId="41" fillId="2" borderId="1" xfId="1" applyFont="1" applyFill="1" applyBorder="1"/>
    <xf numFmtId="0" fontId="2" fillId="0" borderId="0" xfId="1" applyFont="1"/>
    <xf numFmtId="0" fontId="1" fillId="2" borderId="1" xfId="1" applyFill="1" applyBorder="1"/>
    <xf numFmtId="0" fontId="1" fillId="3" borderId="1" xfId="1" applyFill="1" applyBorder="1"/>
    <xf numFmtId="0" fontId="1" fillId="4" borderId="1" xfId="1" applyFill="1" applyBorder="1"/>
    <xf numFmtId="14" fontId="1" fillId="0" borderId="0" xfId="1" applyNumberFormat="1"/>
    <xf numFmtId="0" fontId="2" fillId="2" borderId="1" xfId="1" applyFont="1" applyFill="1" applyBorder="1"/>
    <xf numFmtId="9" fontId="1" fillId="3" borderId="1" xfId="1" applyNumberFormat="1" applyFill="1" applyBorder="1"/>
    <xf numFmtId="0" fontId="1" fillId="2" borderId="13" xfId="1" applyFill="1" applyBorder="1"/>
    <xf numFmtId="0" fontId="1" fillId="4" borderId="13" xfId="1" applyFill="1" applyBorder="1"/>
    <xf numFmtId="0" fontId="1" fillId="0" borderId="0" xfId="1" applyAlignment="1">
      <alignment horizontal="center" vertical="center"/>
    </xf>
    <xf numFmtId="0" fontId="2" fillId="0" borderId="0" xfId="1" applyFont="1" applyAlignment="1">
      <alignment vertical="center"/>
    </xf>
    <xf numFmtId="0" fontId="1" fillId="2" borderId="1" xfId="1" applyFill="1" applyBorder="1" applyAlignment="1">
      <alignment horizontal="center" vertical="center"/>
    </xf>
    <xf numFmtId="0" fontId="1" fillId="2" borderId="1" xfId="1" applyFill="1" applyBorder="1" applyAlignment="1">
      <alignment horizontal="left" vertical="center" wrapText="1"/>
    </xf>
    <xf numFmtId="166" fontId="0" fillId="0" borderId="0" xfId="14" applyFont="1" applyBorder="1"/>
    <xf numFmtId="0" fontId="1" fillId="0" borderId="0" xfId="1" applyAlignment="1">
      <alignment wrapText="1"/>
    </xf>
    <xf numFmtId="0" fontId="1" fillId="0" borderId="1" xfId="1" applyBorder="1" applyAlignment="1">
      <alignment wrapText="1"/>
    </xf>
    <xf numFmtId="0" fontId="1" fillId="4" borderId="9" xfId="1" applyFill="1" applyBorder="1"/>
    <xf numFmtId="0" fontId="1" fillId="0" borderId="10" xfId="1" applyBorder="1"/>
    <xf numFmtId="0" fontId="1" fillId="4" borderId="10" xfId="1" applyFill="1" applyBorder="1"/>
    <xf numFmtId="0" fontId="1" fillId="4" borderId="11" xfId="1" applyFill="1" applyBorder="1"/>
    <xf numFmtId="0" fontId="42" fillId="0" borderId="0" xfId="1" applyFont="1" applyAlignment="1">
      <alignment horizontal="left" indent="2"/>
    </xf>
    <xf numFmtId="0" fontId="1" fillId="0" borderId="0" xfId="1" quotePrefix="1"/>
    <xf numFmtId="167" fontId="1" fillId="0" borderId="0" xfId="1" applyNumberFormat="1"/>
    <xf numFmtId="0" fontId="1" fillId="0" borderId="0" xfId="1" quotePrefix="1" applyAlignment="1">
      <alignment horizontal="center"/>
    </xf>
    <xf numFmtId="16" fontId="1" fillId="0" borderId="0" xfId="1" quotePrefix="1" applyNumberFormat="1" applyAlignment="1">
      <alignment horizontal="center"/>
    </xf>
    <xf numFmtId="17" fontId="1" fillId="0" borderId="0" xfId="1" quotePrefix="1" applyNumberFormat="1" applyAlignment="1">
      <alignment horizontal="center"/>
    </xf>
    <xf numFmtId="0" fontId="1" fillId="0" borderId="14" xfId="1" applyBorder="1" applyAlignment="1">
      <alignment wrapText="1"/>
    </xf>
    <xf numFmtId="9" fontId="1" fillId="0" borderId="0" xfId="1" applyNumberFormat="1"/>
    <xf numFmtId="0" fontId="49" fillId="0" borderId="0" xfId="15" applyFont="1"/>
    <xf numFmtId="0" fontId="50" fillId="0" borderId="0" xfId="15" applyFont="1"/>
    <xf numFmtId="0" fontId="7" fillId="0" borderId="0" xfId="15"/>
    <xf numFmtId="0" fontId="11" fillId="7" borderId="1" xfId="15" applyFont="1" applyFill="1" applyBorder="1" applyAlignment="1">
      <alignment horizontal="center"/>
    </xf>
    <xf numFmtId="0" fontId="7" fillId="0" borderId="1" xfId="15" applyBorder="1" applyAlignment="1">
      <alignment horizontal="center"/>
    </xf>
    <xf numFmtId="0" fontId="20" fillId="0" borderId="0" xfId="16" applyFont="1"/>
    <xf numFmtId="0" fontId="4" fillId="0" borderId="0" xfId="16" applyFont="1"/>
    <xf numFmtId="0" fontId="52" fillId="5" borderId="15" xfId="0" applyFont="1" applyFill="1" applyBorder="1" applyAlignment="1">
      <alignment horizontal="center" vertical="center"/>
    </xf>
    <xf numFmtId="0" fontId="52" fillId="5" borderId="15" xfId="0" applyFont="1" applyFill="1" applyBorder="1" applyAlignment="1">
      <alignment horizontal="center" vertical="center" wrapText="1"/>
    </xf>
    <xf numFmtId="0" fontId="53" fillId="0" borderId="0" xfId="0" applyFont="1"/>
    <xf numFmtId="168" fontId="4" fillId="0" borderId="0" xfId="16" applyNumberFormat="1" applyFont="1"/>
    <xf numFmtId="0" fontId="52" fillId="0" borderId="0" xfId="0" applyFont="1"/>
    <xf numFmtId="0" fontId="54" fillId="0" borderId="0" xfId="0" applyFont="1"/>
    <xf numFmtId="0" fontId="55" fillId="6" borderId="0" xfId="10" applyFont="1" applyFill="1"/>
    <xf numFmtId="0" fontId="55" fillId="0" borderId="0" xfId="15" applyFont="1"/>
    <xf numFmtId="0" fontId="55" fillId="6" borderId="0" xfId="0" applyFont="1" applyFill="1" applyAlignment="1">
      <alignment vertical="center"/>
    </xf>
    <xf numFmtId="0" fontId="55" fillId="6" borderId="0" xfId="8" applyFont="1" applyFill="1"/>
    <xf numFmtId="165" fontId="1" fillId="0" borderId="0" xfId="1" applyNumberFormat="1"/>
    <xf numFmtId="2" fontId="7" fillId="0" borderId="0" xfId="15" applyNumberFormat="1"/>
    <xf numFmtId="2" fontId="7" fillId="0" borderId="1" xfId="15" applyNumberFormat="1" applyBorder="1"/>
    <xf numFmtId="14" fontId="0" fillId="0" borderId="0" xfId="0" applyNumberFormat="1"/>
    <xf numFmtId="14" fontId="53" fillId="0" borderId="0" xfId="0" applyNumberFormat="1" applyFont="1"/>
    <xf numFmtId="1" fontId="0" fillId="0" borderId="0" xfId="0" applyNumberFormat="1"/>
    <xf numFmtId="0" fontId="0" fillId="0" borderId="0" xfId="0" pivotButton="1"/>
    <xf numFmtId="0" fontId="0" fillId="0" borderId="0" xfId="0" applyAlignment="1">
      <alignment horizontal="left"/>
    </xf>
    <xf numFmtId="0" fontId="2" fillId="0" borderId="12" xfId="1" applyFont="1" applyBorder="1" applyAlignment="1">
      <alignment horizontal="center"/>
    </xf>
    <xf numFmtId="0" fontId="2" fillId="0" borderId="1" xfId="1" applyFont="1" applyBorder="1" applyAlignment="1">
      <alignment horizontal="center"/>
    </xf>
    <xf numFmtId="0" fontId="1" fillId="0" borderId="0" xfId="1" applyAlignment="1">
      <alignment horizontal="center"/>
    </xf>
    <xf numFmtId="0" fontId="1" fillId="0" borderId="1" xfId="1" applyBorder="1" applyAlignment="1">
      <alignment horizontal="left" wrapText="1"/>
    </xf>
    <xf numFmtId="0" fontId="0" fillId="0" borderId="0" xfId="0" applyNumberFormat="1"/>
  </cellXfs>
  <cellStyles count="17">
    <cellStyle name="Currency 2" xfId="14" xr:uid="{00000000-0005-0000-0000-000000000000}"/>
    <cellStyle name="Hyperlink 2" xfId="11" xr:uid="{00000000-0005-0000-0000-000001000000}"/>
    <cellStyle name="Hyperlink 3" xfId="12" xr:uid="{00000000-0005-0000-0000-000002000000}"/>
    <cellStyle name="Hyperlink_Book2" xfId="13" xr:uid="{00000000-0005-0000-0000-000003000000}"/>
    <cellStyle name="Kesk" xfId="3" xr:uid="{00000000-0005-0000-0000-000004000000}"/>
    <cellStyle name="Normal" xfId="0" builtinId="0"/>
    <cellStyle name="Normal 2" xfId="1" xr:uid="{00000000-0005-0000-0000-000006000000}"/>
    <cellStyle name="Normal 2 2" xfId="2" xr:uid="{00000000-0005-0000-0000-000007000000}"/>
    <cellStyle name="Normal 2 3" xfId="15" xr:uid="{00000000-0005-0000-0000-000008000000}"/>
    <cellStyle name="Normal 3" xfId="8" xr:uid="{00000000-0005-0000-0000-000009000000}"/>
    <cellStyle name="Normal_aeg" xfId="10" xr:uid="{00000000-0005-0000-0000-00000A000000}"/>
    <cellStyle name="Normal_Funktsioonid_2" xfId="4" xr:uid="{00000000-0005-0000-0000-00000B000000}"/>
    <cellStyle name="Normal_joonalusAr12" xfId="5" xr:uid="{00000000-0005-0000-0000-00000C000000}"/>
    <cellStyle name="Normal_kaks_hinnakirja" xfId="16" xr:uid="{00000000-0005-0000-0000-00000D000000}"/>
    <cellStyle name="Normal_Tekst" xfId="9" xr:uid="{00000000-0005-0000-0000-00000E000000}"/>
    <cellStyle name="Pealkiri" xfId="6" xr:uid="{00000000-0005-0000-0000-00000F000000}"/>
    <cellStyle name="Suur" xfId="7" xr:uid="{00000000-0005-0000-0000-000010000000}"/>
  </cellStyles>
  <dxfs count="0"/>
  <tableStyles count="0" defaultTableStyle="TableStyleMedium9"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1.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Graafik1!$C$5</c:f>
              <c:strCache>
                <c:ptCount val="1"/>
                <c:pt idx="0">
                  <c:v>y</c:v>
                </c:pt>
              </c:strCache>
            </c:strRef>
          </c:tx>
          <c:spPr>
            <a:ln w="19050" cap="rnd">
              <a:solidFill>
                <a:schemeClr val="accent1"/>
              </a:solidFill>
              <a:round/>
            </a:ln>
            <a:effectLst/>
          </c:spPr>
          <c:marker>
            <c:symbol val="none"/>
          </c:marker>
          <c:xVal>
            <c:numRef>
              <c:f>Graafik1!$B$6:$B$26</c:f>
              <c:numCache>
                <c:formatCode>0.000</c:formatCode>
                <c:ptCount val="21"/>
                <c:pt idx="0">
                  <c:v>-3</c:v>
                </c:pt>
                <c:pt idx="1">
                  <c:v>-2.6</c:v>
                </c:pt>
                <c:pt idx="2">
                  <c:v>-2.2000000000000002</c:v>
                </c:pt>
                <c:pt idx="3">
                  <c:v>-1.8000000000000003</c:v>
                </c:pt>
                <c:pt idx="4">
                  <c:v>-1.4000000000000004</c:v>
                </c:pt>
                <c:pt idx="5">
                  <c:v>-1.0000000000000004</c:v>
                </c:pt>
                <c:pt idx="6">
                  <c:v>-0.60000000000000042</c:v>
                </c:pt>
                <c:pt idx="7">
                  <c:v>-0.2000000000000004</c:v>
                </c:pt>
                <c:pt idx="8">
                  <c:v>0.19999999999999962</c:v>
                </c:pt>
                <c:pt idx="9">
                  <c:v>0.59999999999999964</c:v>
                </c:pt>
                <c:pt idx="10">
                  <c:v>0.99999999999999967</c:v>
                </c:pt>
                <c:pt idx="11">
                  <c:v>1.3999999999999997</c:v>
                </c:pt>
                <c:pt idx="12">
                  <c:v>1.7999999999999998</c:v>
                </c:pt>
                <c:pt idx="13">
                  <c:v>2.1999999999999997</c:v>
                </c:pt>
                <c:pt idx="14">
                  <c:v>2.5999999999999996</c:v>
                </c:pt>
                <c:pt idx="15">
                  <c:v>2.9999999999999996</c:v>
                </c:pt>
                <c:pt idx="16">
                  <c:v>3.3999999999999995</c:v>
                </c:pt>
                <c:pt idx="17">
                  <c:v>3.7999999999999994</c:v>
                </c:pt>
                <c:pt idx="18">
                  <c:v>4.1999999999999993</c:v>
                </c:pt>
                <c:pt idx="19">
                  <c:v>4.5999999999999996</c:v>
                </c:pt>
                <c:pt idx="20">
                  <c:v>5</c:v>
                </c:pt>
              </c:numCache>
            </c:numRef>
          </c:xVal>
          <c:yVal>
            <c:numRef>
              <c:f>Graafik1!$C$6:$C$26</c:f>
              <c:numCache>
                <c:formatCode>0.0000</c:formatCode>
                <c:ptCount val="21"/>
                <c:pt idx="0">
                  <c:v>3.880510859951098</c:v>
                </c:pt>
                <c:pt idx="1">
                  <c:v>2.4055500139011312</c:v>
                </c:pt>
                <c:pt idx="2">
                  <c:v>7.8001390064741938E-2</c:v>
                </c:pt>
                <c:pt idx="3">
                  <c:v>-1.6902752490024402</c:v>
                </c:pt>
                <c:pt idx="4">
                  <c:v>-1.8266670220059753</c:v>
                </c:pt>
                <c:pt idx="5">
                  <c:v>-0.2484405096414295</c:v>
                </c:pt>
                <c:pt idx="6">
                  <c:v>2.0870732634300184</c:v>
                </c:pt>
                <c:pt idx="7">
                  <c:v>3.7631829820086544</c:v>
                </c:pt>
                <c:pt idx="8">
                  <c:v>0.82321236697517186</c:v>
                </c:pt>
                <c:pt idx="9">
                  <c:v>2.8692381543909775</c:v>
                </c:pt>
                <c:pt idx="10">
                  <c:v>-1.2943999597006595</c:v>
                </c:pt>
                <c:pt idx="11">
                  <c:v>-6.3578788620679383</c:v>
                </c:pt>
                <c:pt idx="12">
                  <c:v>-5.8638224377799384</c:v>
                </c:pt>
                <c:pt idx="13">
                  <c:v>-0.44229318243311067</c:v>
                </c:pt>
                <c:pt idx="14">
                  <c:v>2.9927167268730246</c:v>
                </c:pt>
                <c:pt idx="15">
                  <c:v>6.0592426208791128E-2</c:v>
                </c:pt>
                <c:pt idx="16">
                  <c:v>-5.4993734379677122</c:v>
                </c:pt>
                <c:pt idx="17">
                  <c:v>-6.5966426283233819</c:v>
                </c:pt>
                <c:pt idx="18">
                  <c:v>-1.8318847638943254</c:v>
                </c:pt>
                <c:pt idx="19">
                  <c:v>2.718478347220521</c:v>
                </c:pt>
                <c:pt idx="20">
                  <c:v>1.2514392007855841</c:v>
                </c:pt>
              </c:numCache>
            </c:numRef>
          </c:yVal>
          <c:smooth val="1"/>
          <c:extLst>
            <c:ext xmlns:c16="http://schemas.microsoft.com/office/drawing/2014/chart" uri="{C3380CC4-5D6E-409C-BE32-E72D297353CC}">
              <c16:uniqueId val="{00000000-37C8-4B4D-94F5-25A3ACEC4C16}"/>
            </c:ext>
          </c:extLst>
        </c:ser>
        <c:ser>
          <c:idx val="1"/>
          <c:order val="1"/>
          <c:tx>
            <c:strRef>
              <c:f>Graafik1!$D$5</c:f>
              <c:strCache>
                <c:ptCount val="1"/>
                <c:pt idx="0">
                  <c:v>z</c:v>
                </c:pt>
              </c:strCache>
            </c:strRef>
          </c:tx>
          <c:spPr>
            <a:ln w="19050" cap="rnd">
              <a:solidFill>
                <a:schemeClr val="accent2"/>
              </a:solidFill>
              <a:round/>
            </a:ln>
            <a:effectLst/>
          </c:spPr>
          <c:marker>
            <c:symbol val="none"/>
          </c:marker>
          <c:xVal>
            <c:numRef>
              <c:f>Graafik1!$B$6:$B$26</c:f>
              <c:numCache>
                <c:formatCode>0.000</c:formatCode>
                <c:ptCount val="21"/>
                <c:pt idx="0">
                  <c:v>-3</c:v>
                </c:pt>
                <c:pt idx="1">
                  <c:v>-2.6</c:v>
                </c:pt>
                <c:pt idx="2">
                  <c:v>-2.2000000000000002</c:v>
                </c:pt>
                <c:pt idx="3">
                  <c:v>-1.8000000000000003</c:v>
                </c:pt>
                <c:pt idx="4">
                  <c:v>-1.4000000000000004</c:v>
                </c:pt>
                <c:pt idx="5">
                  <c:v>-1.0000000000000004</c:v>
                </c:pt>
                <c:pt idx="6">
                  <c:v>-0.60000000000000042</c:v>
                </c:pt>
                <c:pt idx="7">
                  <c:v>-0.2000000000000004</c:v>
                </c:pt>
                <c:pt idx="8">
                  <c:v>0.19999999999999962</c:v>
                </c:pt>
                <c:pt idx="9">
                  <c:v>0.59999999999999964</c:v>
                </c:pt>
                <c:pt idx="10">
                  <c:v>0.99999999999999967</c:v>
                </c:pt>
                <c:pt idx="11">
                  <c:v>1.3999999999999997</c:v>
                </c:pt>
                <c:pt idx="12">
                  <c:v>1.7999999999999998</c:v>
                </c:pt>
                <c:pt idx="13">
                  <c:v>2.1999999999999997</c:v>
                </c:pt>
                <c:pt idx="14">
                  <c:v>2.5999999999999996</c:v>
                </c:pt>
                <c:pt idx="15">
                  <c:v>2.9999999999999996</c:v>
                </c:pt>
                <c:pt idx="16">
                  <c:v>3.3999999999999995</c:v>
                </c:pt>
                <c:pt idx="17">
                  <c:v>3.7999999999999994</c:v>
                </c:pt>
                <c:pt idx="18">
                  <c:v>4.1999999999999993</c:v>
                </c:pt>
                <c:pt idx="19">
                  <c:v>4.5999999999999996</c:v>
                </c:pt>
                <c:pt idx="20">
                  <c:v>5</c:v>
                </c:pt>
              </c:numCache>
            </c:numRef>
          </c:xVal>
          <c:yVal>
            <c:numRef>
              <c:f>Graafik1!$D$6:$D$26</c:f>
              <c:numCache>
                <c:formatCode>0.0000</c:formatCode>
                <c:ptCount val="21"/>
                <c:pt idx="0">
                  <c:v>3.9</c:v>
                </c:pt>
                <c:pt idx="1">
                  <c:v>3.6760000000000002</c:v>
                </c:pt>
                <c:pt idx="2">
                  <c:v>3.484</c:v>
                </c:pt>
                <c:pt idx="3">
                  <c:v>-8.6000000000000014</c:v>
                </c:pt>
                <c:pt idx="4">
                  <c:v>-7.8000000000000007</c:v>
                </c:pt>
                <c:pt idx="5">
                  <c:v>-7.0000000000000009</c:v>
                </c:pt>
                <c:pt idx="6">
                  <c:v>-6.2000000000000011</c:v>
                </c:pt>
                <c:pt idx="7">
                  <c:v>-5.4</c:v>
                </c:pt>
                <c:pt idx="8">
                  <c:v>-4.6000000000000005</c:v>
                </c:pt>
                <c:pt idx="9">
                  <c:v>-3.8000000000000007</c:v>
                </c:pt>
                <c:pt idx="10">
                  <c:v>-3.0000000000000009</c:v>
                </c:pt>
                <c:pt idx="11">
                  <c:v>-2.2000000000000006</c:v>
                </c:pt>
                <c:pt idx="12">
                  <c:v>-1.4000000000000004</c:v>
                </c:pt>
                <c:pt idx="13">
                  <c:v>-2.8548062216685475</c:v>
                </c:pt>
                <c:pt idx="14">
                  <c:v>-2.6503639671604606</c:v>
                </c:pt>
                <c:pt idx="15">
                  <c:v>-0.83824649459678024</c:v>
                </c:pt>
                <c:pt idx="16">
                  <c:v>1.4823400534158222</c:v>
                </c:pt>
                <c:pt idx="17">
                  <c:v>2.9037590160944582</c:v>
                </c:pt>
                <c:pt idx="18">
                  <c:v>2.5637967242648445</c:v>
                </c:pt>
                <c:pt idx="19">
                  <c:v>0.66866974230074294</c:v>
                </c:pt>
                <c:pt idx="20">
                  <c:v>-1.6320633326681093</c:v>
                </c:pt>
              </c:numCache>
            </c:numRef>
          </c:yVal>
          <c:smooth val="1"/>
          <c:extLst>
            <c:ext xmlns:c16="http://schemas.microsoft.com/office/drawing/2014/chart" uri="{C3380CC4-5D6E-409C-BE32-E72D297353CC}">
              <c16:uniqueId val="{00000001-37C8-4B4D-94F5-25A3ACEC4C16}"/>
            </c:ext>
          </c:extLst>
        </c:ser>
        <c:dLbls>
          <c:showLegendKey val="0"/>
          <c:showVal val="0"/>
          <c:showCatName val="0"/>
          <c:showSerName val="0"/>
          <c:showPercent val="0"/>
          <c:showBubbleSize val="0"/>
        </c:dLbls>
        <c:axId val="1681213040"/>
        <c:axId val="2060475760"/>
      </c:scatterChart>
      <c:valAx>
        <c:axId val="1681213040"/>
        <c:scaling>
          <c:orientation val="minMax"/>
        </c:scaling>
        <c:delete val="0"/>
        <c:axPos val="b"/>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60475760"/>
        <c:crosses val="autoZero"/>
        <c:crossBetween val="midCat"/>
        <c:majorUnit val="1"/>
      </c:valAx>
      <c:valAx>
        <c:axId val="20604757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81213040"/>
        <c:crosses val="autoZero"/>
        <c:crossBetween val="midCat"/>
      </c:valAx>
      <c:spPr>
        <a:noFill/>
        <a:ln>
          <a:solidFill>
            <a:schemeClr val="tx1"/>
          </a:solidFill>
        </a:ln>
        <a:effectLst/>
      </c:spPr>
    </c:plotArea>
    <c:legend>
      <c:legendPos val="r"/>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t-E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748137108792845E-2"/>
          <c:y val="7.3964497041420538E-2"/>
          <c:w val="0.8464977645305517"/>
          <c:h val="0.8550295857988166"/>
        </c:manualLayout>
      </c:layout>
      <c:scatterChart>
        <c:scatterStyle val="smoothMarker"/>
        <c:varyColors val="0"/>
        <c:ser>
          <c:idx val="0"/>
          <c:order val="0"/>
          <c:tx>
            <c:strRef>
              <c:f>'Graafiku1 näide'!$B$5</c:f>
              <c:strCache>
                <c:ptCount val="1"/>
                <c:pt idx="0">
                  <c:v>y</c:v>
                </c:pt>
              </c:strCache>
            </c:strRef>
          </c:tx>
          <c:spPr>
            <a:ln w="38100">
              <a:solidFill>
                <a:srgbClr val="000080"/>
              </a:solidFill>
              <a:prstDash val="solid"/>
            </a:ln>
          </c:spPr>
          <c:marker>
            <c:symbol val="none"/>
          </c:marker>
          <c:xVal>
            <c:numRef>
              <c:f>'Graafiku1 näide'!$A$6:$A$26</c:f>
              <c:numCache>
                <c:formatCode>0.00</c:formatCode>
                <c:ptCount val="21"/>
                <c:pt idx="0">
                  <c:v>-5</c:v>
                </c:pt>
                <c:pt idx="1">
                  <c:v>-4.5</c:v>
                </c:pt>
                <c:pt idx="2">
                  <c:v>-4</c:v>
                </c:pt>
                <c:pt idx="3">
                  <c:v>-3.5</c:v>
                </c:pt>
                <c:pt idx="4">
                  <c:v>-3</c:v>
                </c:pt>
                <c:pt idx="5">
                  <c:v>-2.5</c:v>
                </c:pt>
                <c:pt idx="6">
                  <c:v>-2</c:v>
                </c:pt>
                <c:pt idx="7">
                  <c:v>-1.5</c:v>
                </c:pt>
                <c:pt idx="8">
                  <c:v>-1</c:v>
                </c:pt>
                <c:pt idx="9">
                  <c:v>-0.5</c:v>
                </c:pt>
                <c:pt idx="10">
                  <c:v>0</c:v>
                </c:pt>
                <c:pt idx="11">
                  <c:v>0.5</c:v>
                </c:pt>
                <c:pt idx="12">
                  <c:v>1</c:v>
                </c:pt>
                <c:pt idx="13">
                  <c:v>1.5</c:v>
                </c:pt>
                <c:pt idx="14">
                  <c:v>2</c:v>
                </c:pt>
                <c:pt idx="15">
                  <c:v>2.5</c:v>
                </c:pt>
                <c:pt idx="16">
                  <c:v>3</c:v>
                </c:pt>
                <c:pt idx="17">
                  <c:v>3.5</c:v>
                </c:pt>
                <c:pt idx="18">
                  <c:v>4</c:v>
                </c:pt>
                <c:pt idx="19">
                  <c:v>4.5</c:v>
                </c:pt>
                <c:pt idx="20">
                  <c:v>5</c:v>
                </c:pt>
              </c:numCache>
            </c:numRef>
          </c:xVal>
          <c:yVal>
            <c:numRef>
              <c:f>'Graafiku1 näide'!$B$6:$B$26</c:f>
              <c:numCache>
                <c:formatCode>0.0000</c:formatCode>
                <c:ptCount val="21"/>
                <c:pt idx="0">
                  <c:v>-1.5172145872293572</c:v>
                </c:pt>
                <c:pt idx="1">
                  <c:v>-1.7333907856540307</c:v>
                </c:pt>
                <c:pt idx="2">
                  <c:v>0.56349989857415939</c:v>
                </c:pt>
                <c:pt idx="3">
                  <c:v>3.2617067630299137</c:v>
                </c:pt>
                <c:pt idx="4">
                  <c:v>3.880510859951098</c:v>
                </c:pt>
                <c:pt idx="5">
                  <c:v>1.8509865563896788</c:v>
                </c:pt>
                <c:pt idx="6">
                  <c:v>-0.96093086259083593</c:v>
                </c:pt>
                <c:pt idx="7">
                  <c:v>-1.9699774898013365</c:v>
                </c:pt>
                <c:pt idx="8">
                  <c:v>-0.24844050964142728</c:v>
                </c:pt>
                <c:pt idx="9">
                  <c:v>2.6209069176044193</c:v>
                </c:pt>
                <c:pt idx="10">
                  <c:v>4</c:v>
                </c:pt>
                <c:pt idx="11">
                  <c:v>2.9874749330202723</c:v>
                </c:pt>
                <c:pt idx="12">
                  <c:v>-1.2943999597006639</c:v>
                </c:pt>
                <c:pt idx="13">
                  <c:v>-6.887650588325485</c:v>
                </c:pt>
                <c:pt idx="14">
                  <c:v>-3.3970774909946293</c:v>
                </c:pt>
                <c:pt idx="15">
                  <c:v>2.6899998838736945</c:v>
                </c:pt>
                <c:pt idx="16">
                  <c:v>6.0592426208783134E-2</c:v>
                </c:pt>
                <c:pt idx="17">
                  <c:v>-6.3984787998583501</c:v>
                </c:pt>
                <c:pt idx="18">
                  <c:v>-4.6828645900021746</c:v>
                </c:pt>
                <c:pt idx="19">
                  <c:v>2.0189221327581048</c:v>
                </c:pt>
                <c:pt idx="20">
                  <c:v>1.2514392007855841</c:v>
                </c:pt>
              </c:numCache>
            </c:numRef>
          </c:yVal>
          <c:smooth val="1"/>
          <c:extLst>
            <c:ext xmlns:c16="http://schemas.microsoft.com/office/drawing/2014/chart" uri="{C3380CC4-5D6E-409C-BE32-E72D297353CC}">
              <c16:uniqueId val="{00000000-B155-4B39-B81B-35F5DF89D6F5}"/>
            </c:ext>
          </c:extLst>
        </c:ser>
        <c:ser>
          <c:idx val="1"/>
          <c:order val="1"/>
          <c:tx>
            <c:strRef>
              <c:f>'Graafiku1 näide'!$C$5</c:f>
              <c:strCache>
                <c:ptCount val="1"/>
                <c:pt idx="0">
                  <c:v>z</c:v>
                </c:pt>
              </c:strCache>
            </c:strRef>
          </c:tx>
          <c:spPr>
            <a:ln w="38100">
              <a:solidFill>
                <a:srgbClr val="FF0000"/>
              </a:solidFill>
              <a:prstDash val="solid"/>
            </a:ln>
          </c:spPr>
          <c:marker>
            <c:symbol val="none"/>
          </c:marker>
          <c:xVal>
            <c:numRef>
              <c:f>'Graafiku1 näide'!$A$6:$A$26</c:f>
              <c:numCache>
                <c:formatCode>0.00</c:formatCode>
                <c:ptCount val="21"/>
                <c:pt idx="0">
                  <c:v>-5</c:v>
                </c:pt>
                <c:pt idx="1">
                  <c:v>-4.5</c:v>
                </c:pt>
                <c:pt idx="2">
                  <c:v>-4</c:v>
                </c:pt>
                <c:pt idx="3">
                  <c:v>-3.5</c:v>
                </c:pt>
                <c:pt idx="4">
                  <c:v>-3</c:v>
                </c:pt>
                <c:pt idx="5">
                  <c:v>-2.5</c:v>
                </c:pt>
                <c:pt idx="6">
                  <c:v>-2</c:v>
                </c:pt>
                <c:pt idx="7">
                  <c:v>-1.5</c:v>
                </c:pt>
                <c:pt idx="8">
                  <c:v>-1</c:v>
                </c:pt>
                <c:pt idx="9">
                  <c:v>-0.5</c:v>
                </c:pt>
                <c:pt idx="10">
                  <c:v>0</c:v>
                </c:pt>
                <c:pt idx="11">
                  <c:v>0.5</c:v>
                </c:pt>
                <c:pt idx="12">
                  <c:v>1</c:v>
                </c:pt>
                <c:pt idx="13">
                  <c:v>1.5</c:v>
                </c:pt>
                <c:pt idx="14">
                  <c:v>2</c:v>
                </c:pt>
                <c:pt idx="15">
                  <c:v>2.5</c:v>
                </c:pt>
                <c:pt idx="16">
                  <c:v>3</c:v>
                </c:pt>
                <c:pt idx="17">
                  <c:v>3.5</c:v>
                </c:pt>
                <c:pt idx="18">
                  <c:v>4</c:v>
                </c:pt>
                <c:pt idx="19">
                  <c:v>4.5</c:v>
                </c:pt>
                <c:pt idx="20">
                  <c:v>5</c:v>
                </c:pt>
              </c:numCache>
            </c:numRef>
          </c:xVal>
          <c:yVal>
            <c:numRef>
              <c:f>'Graafiku1 näide'!$C$6:$C$26</c:f>
              <c:numCache>
                <c:formatCode>0.0000</c:formatCode>
                <c:ptCount val="21"/>
                <c:pt idx="0">
                  <c:v>5.5</c:v>
                </c:pt>
                <c:pt idx="1">
                  <c:v>5.0250000000000004</c:v>
                </c:pt>
                <c:pt idx="2">
                  <c:v>4.5999999999999996</c:v>
                </c:pt>
                <c:pt idx="3">
                  <c:v>4.2249999999999996</c:v>
                </c:pt>
                <c:pt idx="4">
                  <c:v>3.9</c:v>
                </c:pt>
                <c:pt idx="5">
                  <c:v>3.625</c:v>
                </c:pt>
                <c:pt idx="6">
                  <c:v>-9</c:v>
                </c:pt>
                <c:pt idx="7">
                  <c:v>-8</c:v>
                </c:pt>
                <c:pt idx="8">
                  <c:v>-7</c:v>
                </c:pt>
                <c:pt idx="9">
                  <c:v>-6</c:v>
                </c:pt>
                <c:pt idx="10">
                  <c:v>-5</c:v>
                </c:pt>
                <c:pt idx="11">
                  <c:v>-4</c:v>
                </c:pt>
                <c:pt idx="12">
                  <c:v>-3</c:v>
                </c:pt>
                <c:pt idx="13">
                  <c:v>-2</c:v>
                </c:pt>
                <c:pt idx="14">
                  <c:v>-1</c:v>
                </c:pt>
                <c:pt idx="15">
                  <c:v>-2.8767728239894153</c:v>
                </c:pt>
                <c:pt idx="16">
                  <c:v>-0.83824649459677758</c:v>
                </c:pt>
                <c:pt idx="17">
                  <c:v>1.9709597961563672</c:v>
                </c:pt>
                <c:pt idx="18">
                  <c:v>2.9680747398701453</c:v>
                </c:pt>
                <c:pt idx="19">
                  <c:v>1.2363554557252698</c:v>
                </c:pt>
                <c:pt idx="20">
                  <c:v>-1.6320633326681093</c:v>
                </c:pt>
              </c:numCache>
            </c:numRef>
          </c:yVal>
          <c:smooth val="1"/>
          <c:extLst>
            <c:ext xmlns:c16="http://schemas.microsoft.com/office/drawing/2014/chart" uri="{C3380CC4-5D6E-409C-BE32-E72D297353CC}">
              <c16:uniqueId val="{00000001-B155-4B39-B81B-35F5DF89D6F5}"/>
            </c:ext>
          </c:extLst>
        </c:ser>
        <c:dLbls>
          <c:showLegendKey val="0"/>
          <c:showVal val="0"/>
          <c:showCatName val="0"/>
          <c:showSerName val="0"/>
          <c:showPercent val="0"/>
          <c:showBubbleSize val="0"/>
        </c:dLbls>
        <c:axId val="212694080"/>
        <c:axId val="212694656"/>
      </c:scatterChart>
      <c:valAx>
        <c:axId val="21269408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t-EE"/>
          </a:p>
        </c:txPr>
        <c:crossAx val="212694656"/>
        <c:crosses val="autoZero"/>
        <c:crossBetween val="midCat"/>
        <c:majorUnit val="1"/>
      </c:valAx>
      <c:valAx>
        <c:axId val="2126946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t-EE"/>
          </a:p>
        </c:txPr>
        <c:crossAx val="212694080"/>
        <c:crosses val="autoZero"/>
        <c:crossBetween val="midCat"/>
      </c:valAx>
      <c:spPr>
        <a:noFill/>
        <a:ln w="12700">
          <a:solidFill>
            <a:srgbClr val="808080"/>
          </a:solidFill>
          <a:prstDash val="solid"/>
        </a:ln>
      </c:spPr>
    </c:plotArea>
    <c:legend>
      <c:legendPos val="r"/>
      <c:layout>
        <c:manualLayout>
          <c:xMode val="edge"/>
          <c:yMode val="edge"/>
          <c:x val="0.91803278688524292"/>
          <c:y val="0.42899408284023682"/>
          <c:w val="7.0044709388971699E-2"/>
          <c:h val="0.1449704142011834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t-EE"/>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t-EE"/>
    </a:p>
  </c:txPr>
  <c:printSettings>
    <c:headerFooter alignWithMargins="0"/>
    <c:pageMargins b="1" l="0.75000000000000211" r="0.750000000000002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1">
                <a:solidFill>
                  <a:schemeClr val="accent2"/>
                </a:solidFill>
              </a:rPr>
              <a:t>Graafik</a:t>
            </a:r>
            <a:r>
              <a:rPr lang="et-EE" b="1" baseline="0">
                <a:solidFill>
                  <a:schemeClr val="accent2"/>
                </a:solidFill>
              </a:rPr>
              <a:t> 2: Y=20ln(x) ja z=3cos(2x)</a:t>
            </a:r>
            <a:endParaRPr lang="et-EE" b="1">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lotArea>
      <c:layout>
        <c:manualLayout>
          <c:layoutTarget val="inner"/>
          <c:xMode val="edge"/>
          <c:yMode val="edge"/>
          <c:x val="5.1044630845770836E-2"/>
          <c:y val="0.12050865589384119"/>
          <c:w val="0.81446450638610046"/>
          <c:h val="0.80487080789879895"/>
        </c:manualLayout>
      </c:layout>
      <c:scatterChart>
        <c:scatterStyle val="smoothMarker"/>
        <c:varyColors val="0"/>
        <c:ser>
          <c:idx val="0"/>
          <c:order val="0"/>
          <c:spPr>
            <a:ln w="19050" cap="sq">
              <a:solidFill>
                <a:schemeClr val="accent1"/>
              </a:solidFill>
              <a:round/>
            </a:ln>
            <a:effectLst/>
          </c:spPr>
          <c:marker>
            <c:symbol val="diamond"/>
            <c:size val="5"/>
            <c:spPr>
              <a:solidFill>
                <a:schemeClr val="accent1"/>
              </a:solidFill>
              <a:ln w="9525">
                <a:solidFill>
                  <a:schemeClr val="accent1"/>
                </a:solidFill>
              </a:ln>
              <a:effectLst/>
            </c:spPr>
          </c:marker>
          <c:xVal>
            <c:numRef>
              <c:f>'Graafik 2'!$B$23:$B$47</c:f>
              <c:numCache>
                <c:formatCode>0.000</c:formatCode>
                <c:ptCount val="25"/>
                <c:pt idx="0">
                  <c:v>0.1</c:v>
                </c:pt>
                <c:pt idx="1">
                  <c:v>0.2</c:v>
                </c:pt>
                <c:pt idx="2">
                  <c:v>0.3</c:v>
                </c:pt>
                <c:pt idx="3">
                  <c:v>0.39999999999999997</c:v>
                </c:pt>
                <c:pt idx="4">
                  <c:v>0.49999999999999994</c:v>
                </c:pt>
                <c:pt idx="5">
                  <c:v>0.6</c:v>
                </c:pt>
                <c:pt idx="6">
                  <c:v>0.7</c:v>
                </c:pt>
                <c:pt idx="7">
                  <c:v>0.79999999999999993</c:v>
                </c:pt>
                <c:pt idx="8">
                  <c:v>0.89999999999999991</c:v>
                </c:pt>
                <c:pt idx="9">
                  <c:v>0.99999999999999989</c:v>
                </c:pt>
                <c:pt idx="10">
                  <c:v>1.0999999999999999</c:v>
                </c:pt>
                <c:pt idx="11">
                  <c:v>1.2</c:v>
                </c:pt>
                <c:pt idx="12">
                  <c:v>1.3</c:v>
                </c:pt>
                <c:pt idx="13">
                  <c:v>1.4000000000000001</c:v>
                </c:pt>
                <c:pt idx="14">
                  <c:v>1.5000000000000002</c:v>
                </c:pt>
                <c:pt idx="15">
                  <c:v>1.6000000000000003</c:v>
                </c:pt>
                <c:pt idx="16">
                  <c:v>1.7000000000000004</c:v>
                </c:pt>
                <c:pt idx="17">
                  <c:v>1.8000000000000005</c:v>
                </c:pt>
                <c:pt idx="18">
                  <c:v>1.9000000000000006</c:v>
                </c:pt>
                <c:pt idx="19">
                  <c:v>2.0000000000000004</c:v>
                </c:pt>
                <c:pt idx="20">
                  <c:v>2.1000000000000005</c:v>
                </c:pt>
                <c:pt idx="21">
                  <c:v>2.2000000000000006</c:v>
                </c:pt>
                <c:pt idx="22">
                  <c:v>2.3000000000000007</c:v>
                </c:pt>
                <c:pt idx="23">
                  <c:v>2.4000000000000008</c:v>
                </c:pt>
                <c:pt idx="24">
                  <c:v>2.5000000000000009</c:v>
                </c:pt>
              </c:numCache>
            </c:numRef>
          </c:xVal>
          <c:yVal>
            <c:numRef>
              <c:f>'Graafik 2'!$C$23:$C$47</c:f>
              <c:numCache>
                <c:formatCode>0.000</c:formatCode>
                <c:ptCount val="25"/>
                <c:pt idx="0">
                  <c:v>-46.051701859880907</c:v>
                </c:pt>
                <c:pt idx="1">
                  <c:v>-32.188758248682007</c:v>
                </c:pt>
                <c:pt idx="2">
                  <c:v>-24.079456086518721</c:v>
                </c:pt>
                <c:pt idx="3">
                  <c:v>-18.325814637483102</c:v>
                </c:pt>
                <c:pt idx="4">
                  <c:v>-13.862943611198908</c:v>
                </c:pt>
                <c:pt idx="5">
                  <c:v>-10.216512475319814</c:v>
                </c:pt>
                <c:pt idx="6">
                  <c:v>-7.1334988787746489</c:v>
                </c:pt>
                <c:pt idx="7">
                  <c:v>-4.4628710262841969</c:v>
                </c:pt>
                <c:pt idx="8">
                  <c:v>-2.1072103131565281</c:v>
                </c:pt>
                <c:pt idx="9">
                  <c:v>-2.2204460492503131E-15</c:v>
                </c:pt>
                <c:pt idx="10">
                  <c:v>1.9062035960864949</c:v>
                </c:pt>
                <c:pt idx="11">
                  <c:v>3.6464311358790917</c:v>
                </c:pt>
                <c:pt idx="12">
                  <c:v>5.2472852893498212</c:v>
                </c:pt>
                <c:pt idx="13">
                  <c:v>6.7294447324242599</c:v>
                </c:pt>
                <c:pt idx="14">
                  <c:v>8.1093021621632904</c:v>
                </c:pt>
                <c:pt idx="15">
                  <c:v>9.4000725849147155</c:v>
                </c:pt>
                <c:pt idx="16">
                  <c:v>10.612565021243412</c:v>
                </c:pt>
                <c:pt idx="17">
                  <c:v>11.755733298042387</c:v>
                </c:pt>
                <c:pt idx="18">
                  <c:v>12.837077723447901</c:v>
                </c:pt>
                <c:pt idx="19">
                  <c:v>13.86294361119891</c:v>
                </c:pt>
                <c:pt idx="20">
                  <c:v>14.838746894587551</c:v>
                </c:pt>
                <c:pt idx="21">
                  <c:v>15.76914720728541</c:v>
                </c:pt>
                <c:pt idx="22">
                  <c:v>16.658182458702086</c:v>
                </c:pt>
                <c:pt idx="23">
                  <c:v>17.509374747078006</c:v>
                </c:pt>
                <c:pt idx="24">
                  <c:v>18.325814637483109</c:v>
                </c:pt>
              </c:numCache>
            </c:numRef>
          </c:yVal>
          <c:smooth val="1"/>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FB04-493A-B957-DEF17DBE3152}"/>
            </c:ext>
          </c:extLst>
        </c:ser>
        <c:dLbls>
          <c:showLegendKey val="0"/>
          <c:showVal val="0"/>
          <c:showCatName val="0"/>
          <c:showSerName val="0"/>
          <c:showPercent val="0"/>
          <c:showBubbleSize val="0"/>
        </c:dLbls>
        <c:axId val="1434533295"/>
        <c:axId val="1410309679"/>
      </c:scatterChart>
      <c:valAx>
        <c:axId val="14345332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t-EE"/>
                  <a:t>x-telg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t-EE"/>
            </a:p>
          </c:txPr>
        </c:title>
        <c:numFmt formatCode="0.0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410309679"/>
        <c:crosses val="autoZero"/>
        <c:crossBetween val="midCat"/>
      </c:valAx>
      <c:valAx>
        <c:axId val="1410309679"/>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t-EE"/>
                  <a:t>y-telg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t-EE"/>
            </a:p>
          </c:txPr>
        </c:title>
        <c:numFmt formatCode="0.0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434533295"/>
        <c:crossesAt val="0"/>
        <c:crossBetween val="midCat"/>
      </c:valAx>
      <c:spPr>
        <a:solidFill>
          <a:srgbClr val="FFFF00">
            <a:alpha val="26000"/>
          </a:srgbClr>
        </a:solidFill>
        <a:ln>
          <a:solidFill>
            <a:schemeClr val="tx1"/>
          </a:solidFill>
        </a:ln>
        <a:effectLst/>
      </c:spPr>
    </c:plotArea>
    <c:legend>
      <c:legendPos val="b"/>
      <c:layout>
        <c:manualLayout>
          <c:xMode val="edge"/>
          <c:yMode val="edge"/>
          <c:x val="0.72132343885139916"/>
          <c:y val="0.94797652081058104"/>
          <c:w val="0.13003371389858956"/>
          <c:h val="4.802593365459083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t-E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1">
                <a:solidFill>
                  <a:schemeClr val="accent2"/>
                </a:solidFill>
              </a:rPr>
              <a:t>Graafik</a:t>
            </a:r>
            <a:r>
              <a:rPr lang="et-EE" b="1" baseline="0">
                <a:solidFill>
                  <a:schemeClr val="accent2"/>
                </a:solidFill>
              </a:rPr>
              <a:t> 1: y=20ln(x)</a:t>
            </a:r>
            <a:endParaRPr lang="et-EE" b="1">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lotArea>
      <c:layout/>
      <c:scatterChart>
        <c:scatterStyle val="smoothMarker"/>
        <c:varyColors val="0"/>
        <c:ser>
          <c:idx val="0"/>
          <c:order val="0"/>
          <c:tx>
            <c:strRef>
              <c:f>'Graafik 2'!$C$22</c:f>
              <c:strCache>
                <c:ptCount val="1"/>
                <c:pt idx="0">
                  <c:v>y</c:v>
                </c:pt>
              </c:strCache>
            </c:strRef>
          </c:tx>
          <c:spPr>
            <a:ln w="19050" cap="rnd">
              <a:solidFill>
                <a:schemeClr val="accent1"/>
              </a:solidFill>
              <a:round/>
            </a:ln>
            <a:effectLst/>
          </c:spPr>
          <c:marker>
            <c:symbol val="diamond"/>
            <c:size val="5"/>
            <c:spPr>
              <a:solidFill>
                <a:schemeClr val="accent1"/>
              </a:solidFill>
              <a:ln w="9525">
                <a:solidFill>
                  <a:schemeClr val="accent1"/>
                </a:solidFill>
              </a:ln>
              <a:effectLst/>
            </c:spPr>
          </c:marker>
          <c:xVal>
            <c:numRef>
              <c:f>'Graafik 2'!$B$23:$B$47</c:f>
              <c:numCache>
                <c:formatCode>0.000</c:formatCode>
                <c:ptCount val="25"/>
                <c:pt idx="0">
                  <c:v>0.1</c:v>
                </c:pt>
                <c:pt idx="1">
                  <c:v>0.2</c:v>
                </c:pt>
                <c:pt idx="2">
                  <c:v>0.3</c:v>
                </c:pt>
                <c:pt idx="3">
                  <c:v>0.39999999999999997</c:v>
                </c:pt>
                <c:pt idx="4">
                  <c:v>0.49999999999999994</c:v>
                </c:pt>
                <c:pt idx="5">
                  <c:v>0.6</c:v>
                </c:pt>
                <c:pt idx="6">
                  <c:v>0.7</c:v>
                </c:pt>
                <c:pt idx="7">
                  <c:v>0.79999999999999993</c:v>
                </c:pt>
                <c:pt idx="8">
                  <c:v>0.89999999999999991</c:v>
                </c:pt>
                <c:pt idx="9">
                  <c:v>0.99999999999999989</c:v>
                </c:pt>
                <c:pt idx="10">
                  <c:v>1.0999999999999999</c:v>
                </c:pt>
                <c:pt idx="11">
                  <c:v>1.2</c:v>
                </c:pt>
                <c:pt idx="12">
                  <c:v>1.3</c:v>
                </c:pt>
                <c:pt idx="13">
                  <c:v>1.4000000000000001</c:v>
                </c:pt>
                <c:pt idx="14">
                  <c:v>1.5000000000000002</c:v>
                </c:pt>
                <c:pt idx="15">
                  <c:v>1.6000000000000003</c:v>
                </c:pt>
                <c:pt idx="16">
                  <c:v>1.7000000000000004</c:v>
                </c:pt>
                <c:pt idx="17">
                  <c:v>1.8000000000000005</c:v>
                </c:pt>
                <c:pt idx="18">
                  <c:v>1.9000000000000006</c:v>
                </c:pt>
                <c:pt idx="19">
                  <c:v>2.0000000000000004</c:v>
                </c:pt>
                <c:pt idx="20">
                  <c:v>2.1000000000000005</c:v>
                </c:pt>
                <c:pt idx="21">
                  <c:v>2.2000000000000006</c:v>
                </c:pt>
                <c:pt idx="22">
                  <c:v>2.3000000000000007</c:v>
                </c:pt>
                <c:pt idx="23">
                  <c:v>2.4000000000000008</c:v>
                </c:pt>
                <c:pt idx="24">
                  <c:v>2.5000000000000009</c:v>
                </c:pt>
              </c:numCache>
            </c:numRef>
          </c:xVal>
          <c:yVal>
            <c:numRef>
              <c:f>'Graafik 2'!$C$23:$C$47</c:f>
              <c:numCache>
                <c:formatCode>0.000</c:formatCode>
                <c:ptCount val="25"/>
                <c:pt idx="0">
                  <c:v>-46.051701859880907</c:v>
                </c:pt>
                <c:pt idx="1">
                  <c:v>-32.188758248682007</c:v>
                </c:pt>
                <c:pt idx="2">
                  <c:v>-24.079456086518721</c:v>
                </c:pt>
                <c:pt idx="3">
                  <c:v>-18.325814637483102</c:v>
                </c:pt>
                <c:pt idx="4">
                  <c:v>-13.862943611198908</c:v>
                </c:pt>
                <c:pt idx="5">
                  <c:v>-10.216512475319814</c:v>
                </c:pt>
                <c:pt idx="6">
                  <c:v>-7.1334988787746489</c:v>
                </c:pt>
                <c:pt idx="7">
                  <c:v>-4.4628710262841969</c:v>
                </c:pt>
                <c:pt idx="8">
                  <c:v>-2.1072103131565281</c:v>
                </c:pt>
                <c:pt idx="9">
                  <c:v>-2.2204460492503131E-15</c:v>
                </c:pt>
                <c:pt idx="10">
                  <c:v>1.9062035960864949</c:v>
                </c:pt>
                <c:pt idx="11">
                  <c:v>3.6464311358790917</c:v>
                </c:pt>
                <c:pt idx="12">
                  <c:v>5.2472852893498212</c:v>
                </c:pt>
                <c:pt idx="13">
                  <c:v>6.7294447324242599</c:v>
                </c:pt>
                <c:pt idx="14">
                  <c:v>8.1093021621632904</c:v>
                </c:pt>
                <c:pt idx="15">
                  <c:v>9.4000725849147155</c:v>
                </c:pt>
                <c:pt idx="16">
                  <c:v>10.612565021243412</c:v>
                </c:pt>
                <c:pt idx="17">
                  <c:v>11.755733298042387</c:v>
                </c:pt>
                <c:pt idx="18">
                  <c:v>12.837077723447901</c:v>
                </c:pt>
                <c:pt idx="19">
                  <c:v>13.86294361119891</c:v>
                </c:pt>
                <c:pt idx="20">
                  <c:v>14.838746894587551</c:v>
                </c:pt>
                <c:pt idx="21">
                  <c:v>15.76914720728541</c:v>
                </c:pt>
                <c:pt idx="22">
                  <c:v>16.658182458702086</c:v>
                </c:pt>
                <c:pt idx="23">
                  <c:v>17.509374747078006</c:v>
                </c:pt>
                <c:pt idx="24">
                  <c:v>18.325814637483109</c:v>
                </c:pt>
              </c:numCache>
            </c:numRef>
          </c:yVal>
          <c:smooth val="1"/>
          <c:extLst>
            <c:ext xmlns:c16="http://schemas.microsoft.com/office/drawing/2014/chart" uri="{C3380CC4-5D6E-409C-BE32-E72D297353CC}">
              <c16:uniqueId val="{00000000-6CED-4F1C-9A6A-2A616F34592F}"/>
            </c:ext>
          </c:extLst>
        </c:ser>
        <c:dLbls>
          <c:showLegendKey val="0"/>
          <c:showVal val="0"/>
          <c:showCatName val="0"/>
          <c:showSerName val="0"/>
          <c:showPercent val="0"/>
          <c:showBubbleSize val="0"/>
        </c:dLbls>
        <c:axId val="1267648255"/>
        <c:axId val="1266059135"/>
      </c:scatterChart>
      <c:valAx>
        <c:axId val="12676482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t-EE"/>
                  <a:t>x-telg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t-E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266059135"/>
        <c:crosses val="autoZero"/>
        <c:crossBetween val="midCat"/>
      </c:valAx>
      <c:valAx>
        <c:axId val="12660591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t-EE"/>
                  <a:t>y-telg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t-E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2676482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t-E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C00000"/>
                </a:solidFill>
              </a:defRPr>
            </a:pPr>
            <a:r>
              <a:rPr lang="et-EE">
                <a:solidFill>
                  <a:srgbClr val="C00000"/>
                </a:solidFill>
              </a:rPr>
              <a:t>Graafik 1: Y=20ln(x)</a:t>
            </a:r>
            <a:endParaRPr lang="en-US">
              <a:solidFill>
                <a:srgbClr val="C00000"/>
              </a:solidFill>
            </a:endParaRPr>
          </a:p>
        </c:rich>
      </c:tx>
      <c:overlay val="0"/>
    </c:title>
    <c:autoTitleDeleted val="0"/>
    <c:plotArea>
      <c:layout/>
      <c:scatterChart>
        <c:scatterStyle val="smoothMarker"/>
        <c:varyColors val="0"/>
        <c:ser>
          <c:idx val="0"/>
          <c:order val="0"/>
          <c:tx>
            <c:strRef>
              <c:f>'Graafiku2 näide'!$C$5</c:f>
              <c:strCache>
                <c:ptCount val="1"/>
                <c:pt idx="0">
                  <c:v>y</c:v>
                </c:pt>
              </c:strCache>
            </c:strRef>
          </c:tx>
          <c:xVal>
            <c:numRef>
              <c:f>'Graafiku2 näide'!$B$6:$B$30</c:f>
              <c:numCache>
                <c:formatCode>0.000</c:formatCode>
                <c:ptCount val="25"/>
                <c:pt idx="0">
                  <c:v>0.1</c:v>
                </c:pt>
                <c:pt idx="1">
                  <c:v>0.2</c:v>
                </c:pt>
                <c:pt idx="2">
                  <c:v>0.3</c:v>
                </c:pt>
                <c:pt idx="3">
                  <c:v>0.39999999999999997</c:v>
                </c:pt>
                <c:pt idx="4">
                  <c:v>0.49999999999999994</c:v>
                </c:pt>
                <c:pt idx="5">
                  <c:v>0.6</c:v>
                </c:pt>
                <c:pt idx="6">
                  <c:v>0.7</c:v>
                </c:pt>
                <c:pt idx="7">
                  <c:v>0.79999999999999993</c:v>
                </c:pt>
                <c:pt idx="8">
                  <c:v>0.89999999999999991</c:v>
                </c:pt>
                <c:pt idx="9">
                  <c:v>0.99999999999999989</c:v>
                </c:pt>
                <c:pt idx="10">
                  <c:v>1.0999999999999999</c:v>
                </c:pt>
                <c:pt idx="11">
                  <c:v>1.2</c:v>
                </c:pt>
                <c:pt idx="12">
                  <c:v>1.3</c:v>
                </c:pt>
                <c:pt idx="13">
                  <c:v>1.4000000000000001</c:v>
                </c:pt>
                <c:pt idx="14">
                  <c:v>1.5000000000000002</c:v>
                </c:pt>
                <c:pt idx="15">
                  <c:v>1.6000000000000003</c:v>
                </c:pt>
                <c:pt idx="16">
                  <c:v>1.7000000000000004</c:v>
                </c:pt>
                <c:pt idx="17">
                  <c:v>1.8000000000000005</c:v>
                </c:pt>
                <c:pt idx="18">
                  <c:v>1.9000000000000006</c:v>
                </c:pt>
                <c:pt idx="19">
                  <c:v>2.0000000000000004</c:v>
                </c:pt>
                <c:pt idx="20">
                  <c:v>2.1000000000000005</c:v>
                </c:pt>
                <c:pt idx="21">
                  <c:v>2.2000000000000006</c:v>
                </c:pt>
                <c:pt idx="22">
                  <c:v>2.3000000000000007</c:v>
                </c:pt>
                <c:pt idx="23">
                  <c:v>2.4000000000000008</c:v>
                </c:pt>
                <c:pt idx="24">
                  <c:v>2.5000000000000009</c:v>
                </c:pt>
              </c:numCache>
            </c:numRef>
          </c:xVal>
          <c:yVal>
            <c:numRef>
              <c:f>'Graafiku2 näide'!$C$6:$C$30</c:f>
              <c:numCache>
                <c:formatCode>0.000</c:formatCode>
                <c:ptCount val="25"/>
                <c:pt idx="0">
                  <c:v>-46.051701859880907</c:v>
                </c:pt>
                <c:pt idx="1">
                  <c:v>-32.188758248682007</c:v>
                </c:pt>
                <c:pt idx="2">
                  <c:v>-24.079456086518721</c:v>
                </c:pt>
                <c:pt idx="3">
                  <c:v>-18.325814637483102</c:v>
                </c:pt>
                <c:pt idx="4">
                  <c:v>-13.862943611198908</c:v>
                </c:pt>
                <c:pt idx="5">
                  <c:v>-10.216512475319814</c:v>
                </c:pt>
                <c:pt idx="6">
                  <c:v>-7.1334988787746489</c:v>
                </c:pt>
                <c:pt idx="7">
                  <c:v>-4.4628710262841969</c:v>
                </c:pt>
                <c:pt idx="8">
                  <c:v>-2.1072103131565281</c:v>
                </c:pt>
                <c:pt idx="9">
                  <c:v>-2.2204460492503131E-15</c:v>
                </c:pt>
                <c:pt idx="10">
                  <c:v>1.9062035960864949</c:v>
                </c:pt>
                <c:pt idx="11">
                  <c:v>3.6464311358790917</c:v>
                </c:pt>
                <c:pt idx="12">
                  <c:v>5.2472852893498212</c:v>
                </c:pt>
                <c:pt idx="13">
                  <c:v>6.7294447324242599</c:v>
                </c:pt>
                <c:pt idx="14">
                  <c:v>8.1093021621632904</c:v>
                </c:pt>
                <c:pt idx="15">
                  <c:v>9.4000725849147155</c:v>
                </c:pt>
                <c:pt idx="16">
                  <c:v>10.612565021243412</c:v>
                </c:pt>
                <c:pt idx="17">
                  <c:v>11.755733298042387</c:v>
                </c:pt>
                <c:pt idx="18">
                  <c:v>12.837077723447901</c:v>
                </c:pt>
                <c:pt idx="19">
                  <c:v>13.86294361119891</c:v>
                </c:pt>
                <c:pt idx="20">
                  <c:v>14.838746894587551</c:v>
                </c:pt>
                <c:pt idx="21">
                  <c:v>15.76914720728541</c:v>
                </c:pt>
                <c:pt idx="22">
                  <c:v>16.658182458702086</c:v>
                </c:pt>
                <c:pt idx="23">
                  <c:v>17.509374747078006</c:v>
                </c:pt>
                <c:pt idx="24">
                  <c:v>18.325814637483109</c:v>
                </c:pt>
              </c:numCache>
            </c:numRef>
          </c:yVal>
          <c:smooth val="1"/>
          <c:extLst>
            <c:ext xmlns:c16="http://schemas.microsoft.com/office/drawing/2014/chart" uri="{C3380CC4-5D6E-409C-BE32-E72D297353CC}">
              <c16:uniqueId val="{00000000-2B0F-4088-8D0C-B200525FEE60}"/>
            </c:ext>
          </c:extLst>
        </c:ser>
        <c:dLbls>
          <c:showLegendKey val="0"/>
          <c:showVal val="0"/>
          <c:showCatName val="0"/>
          <c:showSerName val="0"/>
          <c:showPercent val="0"/>
          <c:showBubbleSize val="0"/>
        </c:dLbls>
        <c:axId val="220278144"/>
        <c:axId val="221209152"/>
      </c:scatterChart>
      <c:valAx>
        <c:axId val="220278144"/>
        <c:scaling>
          <c:orientation val="minMax"/>
        </c:scaling>
        <c:delete val="0"/>
        <c:axPos val="b"/>
        <c:title>
          <c:tx>
            <c:rich>
              <a:bodyPr/>
              <a:lstStyle/>
              <a:p>
                <a:pPr>
                  <a:defRPr/>
                </a:pPr>
                <a:r>
                  <a:rPr lang="et-EE"/>
                  <a:t>x-telg</a:t>
                </a:r>
              </a:p>
            </c:rich>
          </c:tx>
          <c:overlay val="0"/>
        </c:title>
        <c:numFmt formatCode="0.0" sourceLinked="0"/>
        <c:majorTickMark val="none"/>
        <c:minorTickMark val="none"/>
        <c:tickLblPos val="nextTo"/>
        <c:crossAx val="221209152"/>
        <c:crosses val="autoZero"/>
        <c:crossBetween val="midCat"/>
      </c:valAx>
      <c:valAx>
        <c:axId val="221209152"/>
        <c:scaling>
          <c:orientation val="minMax"/>
        </c:scaling>
        <c:delete val="0"/>
        <c:axPos val="l"/>
        <c:majorGridlines/>
        <c:title>
          <c:tx>
            <c:rich>
              <a:bodyPr/>
              <a:lstStyle/>
              <a:p>
                <a:pPr>
                  <a:defRPr/>
                </a:pPr>
                <a:r>
                  <a:rPr lang="et-EE"/>
                  <a:t>y-telg</a:t>
                </a:r>
              </a:p>
            </c:rich>
          </c:tx>
          <c:overlay val="0"/>
        </c:title>
        <c:numFmt formatCode="0.0" sourceLinked="0"/>
        <c:majorTickMark val="none"/>
        <c:minorTickMark val="none"/>
        <c:tickLblPos val="nextTo"/>
        <c:crossAx val="220278144"/>
        <c:crosses val="autoZero"/>
        <c:crossBetween val="midCat"/>
      </c:valAx>
    </c:plotArea>
    <c:plotVisOnly val="1"/>
    <c:dispBlanksAs val="gap"/>
    <c:showDLblsOverMax val="0"/>
  </c:chart>
  <c:spPr>
    <a:ln>
      <a:solidFill>
        <a:schemeClr val="accent1"/>
      </a:solidFill>
    </a:ln>
  </c:spPr>
  <c:printSettings>
    <c:headerFooter/>
    <c:pageMargins b="0.75000000000000233" l="0.70000000000000062" r="0.70000000000000062" t="0.750000000000002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C00000"/>
                </a:solidFill>
              </a:defRPr>
            </a:pPr>
            <a:r>
              <a:rPr lang="et-EE">
                <a:solidFill>
                  <a:srgbClr val="C00000"/>
                </a:solidFill>
              </a:rPr>
              <a:t>Graafik 2: Y=20ln(x)</a:t>
            </a:r>
            <a:r>
              <a:rPr lang="et-EE" baseline="0">
                <a:solidFill>
                  <a:srgbClr val="C00000"/>
                </a:solidFill>
              </a:rPr>
              <a:t> ja Z=Cos(2x)</a:t>
            </a:r>
            <a:endParaRPr lang="et-EE">
              <a:solidFill>
                <a:srgbClr val="C00000"/>
              </a:solidFill>
            </a:endParaRPr>
          </a:p>
        </c:rich>
      </c:tx>
      <c:overlay val="0"/>
    </c:title>
    <c:autoTitleDeleted val="0"/>
    <c:plotArea>
      <c:layout>
        <c:manualLayout>
          <c:layoutTarget val="inner"/>
          <c:xMode val="edge"/>
          <c:yMode val="edge"/>
          <c:x val="7.2791776027996913E-2"/>
          <c:y val="0.19480351414406533"/>
          <c:w val="0.82305293088363951"/>
          <c:h val="0.68387685914260721"/>
        </c:manualLayout>
      </c:layout>
      <c:scatterChart>
        <c:scatterStyle val="smoothMarker"/>
        <c:varyColors val="0"/>
        <c:ser>
          <c:idx val="0"/>
          <c:order val="0"/>
          <c:tx>
            <c:strRef>
              <c:f>'Graafiku2 näide'!$C$5</c:f>
              <c:strCache>
                <c:ptCount val="1"/>
                <c:pt idx="0">
                  <c:v>y</c:v>
                </c:pt>
              </c:strCache>
            </c:strRef>
          </c:tx>
          <c:spPr>
            <a:ln w="19050">
              <a:solidFill>
                <a:schemeClr val="tx2"/>
              </a:solidFill>
            </a:ln>
          </c:spPr>
          <c:marker>
            <c:symbol val="diamond"/>
            <c:size val="5"/>
            <c:spPr>
              <a:solidFill>
                <a:schemeClr val="tx2"/>
              </a:solidFill>
              <a:ln w="6350">
                <a:solidFill>
                  <a:srgbClr val="1F497D"/>
                </a:solidFill>
              </a:ln>
            </c:spPr>
          </c:marker>
          <c:trendline>
            <c:spPr>
              <a:ln w="19050">
                <a:solidFill>
                  <a:srgbClr val="FF0000"/>
                </a:solidFill>
              </a:ln>
            </c:spPr>
            <c:trendlineType val="poly"/>
            <c:order val="2"/>
            <c:dispRSqr val="0"/>
            <c:dispEq val="0"/>
          </c:trendline>
          <c:xVal>
            <c:numRef>
              <c:f>'Graafiku2 näide'!$B$6:$B$30</c:f>
              <c:numCache>
                <c:formatCode>0.000</c:formatCode>
                <c:ptCount val="25"/>
                <c:pt idx="0">
                  <c:v>0.1</c:v>
                </c:pt>
                <c:pt idx="1">
                  <c:v>0.2</c:v>
                </c:pt>
                <c:pt idx="2">
                  <c:v>0.3</c:v>
                </c:pt>
                <c:pt idx="3">
                  <c:v>0.39999999999999997</c:v>
                </c:pt>
                <c:pt idx="4">
                  <c:v>0.49999999999999994</c:v>
                </c:pt>
                <c:pt idx="5">
                  <c:v>0.6</c:v>
                </c:pt>
                <c:pt idx="6">
                  <c:v>0.7</c:v>
                </c:pt>
                <c:pt idx="7">
                  <c:v>0.79999999999999993</c:v>
                </c:pt>
                <c:pt idx="8">
                  <c:v>0.89999999999999991</c:v>
                </c:pt>
                <c:pt idx="9">
                  <c:v>0.99999999999999989</c:v>
                </c:pt>
                <c:pt idx="10">
                  <c:v>1.0999999999999999</c:v>
                </c:pt>
                <c:pt idx="11">
                  <c:v>1.2</c:v>
                </c:pt>
                <c:pt idx="12">
                  <c:v>1.3</c:v>
                </c:pt>
                <c:pt idx="13">
                  <c:v>1.4000000000000001</c:v>
                </c:pt>
                <c:pt idx="14">
                  <c:v>1.5000000000000002</c:v>
                </c:pt>
                <c:pt idx="15">
                  <c:v>1.6000000000000003</c:v>
                </c:pt>
                <c:pt idx="16">
                  <c:v>1.7000000000000004</c:v>
                </c:pt>
                <c:pt idx="17">
                  <c:v>1.8000000000000005</c:v>
                </c:pt>
                <c:pt idx="18">
                  <c:v>1.9000000000000006</c:v>
                </c:pt>
                <c:pt idx="19">
                  <c:v>2.0000000000000004</c:v>
                </c:pt>
                <c:pt idx="20">
                  <c:v>2.1000000000000005</c:v>
                </c:pt>
                <c:pt idx="21">
                  <c:v>2.2000000000000006</c:v>
                </c:pt>
                <c:pt idx="22">
                  <c:v>2.3000000000000007</c:v>
                </c:pt>
                <c:pt idx="23">
                  <c:v>2.4000000000000008</c:v>
                </c:pt>
                <c:pt idx="24">
                  <c:v>2.5000000000000009</c:v>
                </c:pt>
              </c:numCache>
            </c:numRef>
          </c:xVal>
          <c:yVal>
            <c:numRef>
              <c:f>'Graafiku2 näide'!$C$6:$C$30</c:f>
              <c:numCache>
                <c:formatCode>0.000</c:formatCode>
                <c:ptCount val="25"/>
                <c:pt idx="0">
                  <c:v>-46.051701859880907</c:v>
                </c:pt>
                <c:pt idx="1">
                  <c:v>-32.188758248682007</c:v>
                </c:pt>
                <c:pt idx="2">
                  <c:v>-24.079456086518721</c:v>
                </c:pt>
                <c:pt idx="3">
                  <c:v>-18.325814637483102</c:v>
                </c:pt>
                <c:pt idx="4">
                  <c:v>-13.862943611198908</c:v>
                </c:pt>
                <c:pt idx="5">
                  <c:v>-10.216512475319814</c:v>
                </c:pt>
                <c:pt idx="6">
                  <c:v>-7.1334988787746489</c:v>
                </c:pt>
                <c:pt idx="7">
                  <c:v>-4.4628710262841969</c:v>
                </c:pt>
                <c:pt idx="8">
                  <c:v>-2.1072103131565281</c:v>
                </c:pt>
                <c:pt idx="9">
                  <c:v>-2.2204460492503131E-15</c:v>
                </c:pt>
                <c:pt idx="10">
                  <c:v>1.9062035960864949</c:v>
                </c:pt>
                <c:pt idx="11">
                  <c:v>3.6464311358790917</c:v>
                </c:pt>
                <c:pt idx="12">
                  <c:v>5.2472852893498212</c:v>
                </c:pt>
                <c:pt idx="13">
                  <c:v>6.7294447324242599</c:v>
                </c:pt>
                <c:pt idx="14">
                  <c:v>8.1093021621632904</c:v>
                </c:pt>
                <c:pt idx="15">
                  <c:v>9.4000725849147155</c:v>
                </c:pt>
                <c:pt idx="16">
                  <c:v>10.612565021243412</c:v>
                </c:pt>
                <c:pt idx="17">
                  <c:v>11.755733298042387</c:v>
                </c:pt>
                <c:pt idx="18">
                  <c:v>12.837077723447901</c:v>
                </c:pt>
                <c:pt idx="19">
                  <c:v>13.86294361119891</c:v>
                </c:pt>
                <c:pt idx="20">
                  <c:v>14.838746894587551</c:v>
                </c:pt>
                <c:pt idx="21">
                  <c:v>15.76914720728541</c:v>
                </c:pt>
                <c:pt idx="22">
                  <c:v>16.658182458702086</c:v>
                </c:pt>
                <c:pt idx="23">
                  <c:v>17.509374747078006</c:v>
                </c:pt>
                <c:pt idx="24">
                  <c:v>18.325814637483109</c:v>
                </c:pt>
              </c:numCache>
            </c:numRef>
          </c:yVal>
          <c:smooth val="1"/>
          <c:extLst>
            <c:ext xmlns:c16="http://schemas.microsoft.com/office/drawing/2014/chart" uri="{C3380CC4-5D6E-409C-BE32-E72D297353CC}">
              <c16:uniqueId val="{00000001-4A67-4E4B-9127-DD471E2E1641}"/>
            </c:ext>
          </c:extLst>
        </c:ser>
        <c:dLbls>
          <c:showLegendKey val="0"/>
          <c:showVal val="0"/>
          <c:showCatName val="0"/>
          <c:showSerName val="0"/>
          <c:showPercent val="0"/>
          <c:showBubbleSize val="0"/>
        </c:dLbls>
        <c:axId val="221216064"/>
        <c:axId val="242934912"/>
      </c:scatterChart>
      <c:scatterChart>
        <c:scatterStyle val="smoothMarker"/>
        <c:varyColors val="0"/>
        <c:ser>
          <c:idx val="1"/>
          <c:order val="1"/>
          <c:tx>
            <c:strRef>
              <c:f>'Graafiku2 näide'!$F$5</c:f>
              <c:strCache>
                <c:ptCount val="1"/>
                <c:pt idx="0">
                  <c:v>z</c:v>
                </c:pt>
              </c:strCache>
            </c:strRef>
          </c:tx>
          <c:spPr>
            <a:ln w="19050"/>
          </c:spPr>
          <c:marker>
            <c:symbol val="circle"/>
            <c:size val="5"/>
            <c:spPr>
              <a:solidFill>
                <a:schemeClr val="bg1"/>
              </a:solidFill>
              <a:ln w="6350"/>
            </c:spPr>
          </c:marker>
          <c:xVal>
            <c:numRef>
              <c:f>'Graafiku2 näide'!$E$6:$E$20</c:f>
              <c:numCache>
                <c:formatCode>0.000</c:formatCode>
                <c:ptCount val="15"/>
                <c:pt idx="0">
                  <c:v>-1</c:v>
                </c:pt>
                <c:pt idx="1">
                  <c:v>-0.85714285714285721</c:v>
                </c:pt>
                <c:pt idx="2">
                  <c:v>-0.71428571428571441</c:v>
                </c:pt>
                <c:pt idx="3">
                  <c:v>-0.57142857142857162</c:v>
                </c:pt>
                <c:pt idx="4">
                  <c:v>-0.42857142857142877</c:v>
                </c:pt>
                <c:pt idx="5">
                  <c:v>-0.28571428571428592</c:v>
                </c:pt>
                <c:pt idx="6">
                  <c:v>-0.14285714285714307</c:v>
                </c:pt>
                <c:pt idx="7">
                  <c:v>-2.2204460492503131E-16</c:v>
                </c:pt>
                <c:pt idx="8">
                  <c:v>0.14285714285714263</c:v>
                </c:pt>
                <c:pt idx="9">
                  <c:v>0.28571428571428548</c:v>
                </c:pt>
                <c:pt idx="10">
                  <c:v>0.42857142857142833</c:v>
                </c:pt>
                <c:pt idx="11">
                  <c:v>0.57142857142857117</c:v>
                </c:pt>
                <c:pt idx="12">
                  <c:v>0.71428571428571397</c:v>
                </c:pt>
                <c:pt idx="13">
                  <c:v>0.85714285714285676</c:v>
                </c:pt>
                <c:pt idx="14">
                  <c:v>0.99999999999999956</c:v>
                </c:pt>
              </c:numCache>
            </c:numRef>
          </c:xVal>
          <c:yVal>
            <c:numRef>
              <c:f>'Graafiku2 näide'!$F$6:$F$20</c:f>
              <c:numCache>
                <c:formatCode>0.000</c:formatCode>
                <c:ptCount val="15"/>
                <c:pt idx="0">
                  <c:v>-1.2484405096414273</c:v>
                </c:pt>
                <c:pt idx="1">
                  <c:v>-0.4289925162524123</c:v>
                </c:pt>
                <c:pt idx="2">
                  <c:v>0.42523769176902071</c:v>
                </c:pt>
                <c:pt idx="3">
                  <c:v>1.2449901219632025</c:v>
                </c:pt>
                <c:pt idx="4">
                  <c:v>1.9638002000258015</c:v>
                </c:pt>
                <c:pt idx="5">
                  <c:v>2.5233876402457076</c:v>
                </c:pt>
                <c:pt idx="6">
                  <c:v>2.8783817433357517</c:v>
                </c:pt>
                <c:pt idx="7">
                  <c:v>3</c:v>
                </c:pt>
                <c:pt idx="8">
                  <c:v>2.8783817433357521</c:v>
                </c:pt>
                <c:pt idx="9">
                  <c:v>2.5233876402457094</c:v>
                </c:pt>
                <c:pt idx="10">
                  <c:v>1.9638002000258039</c:v>
                </c:pt>
                <c:pt idx="11">
                  <c:v>1.2449901219632049</c:v>
                </c:pt>
                <c:pt idx="12">
                  <c:v>0.42523769176902337</c:v>
                </c:pt>
                <c:pt idx="13">
                  <c:v>-0.42899251625240975</c:v>
                </c:pt>
                <c:pt idx="14">
                  <c:v>-1.2484405096414246</c:v>
                </c:pt>
              </c:numCache>
            </c:numRef>
          </c:yVal>
          <c:smooth val="1"/>
          <c:extLst>
            <c:ext xmlns:c16="http://schemas.microsoft.com/office/drawing/2014/chart" uri="{C3380CC4-5D6E-409C-BE32-E72D297353CC}">
              <c16:uniqueId val="{00000002-4A67-4E4B-9127-DD471E2E1641}"/>
            </c:ext>
          </c:extLst>
        </c:ser>
        <c:dLbls>
          <c:showLegendKey val="0"/>
          <c:showVal val="0"/>
          <c:showCatName val="0"/>
          <c:showSerName val="0"/>
          <c:showPercent val="0"/>
          <c:showBubbleSize val="0"/>
        </c:dLbls>
        <c:axId val="242979328"/>
        <c:axId val="242975296"/>
      </c:scatterChart>
      <c:valAx>
        <c:axId val="221216064"/>
        <c:scaling>
          <c:orientation val="minMax"/>
        </c:scaling>
        <c:delete val="0"/>
        <c:axPos val="b"/>
        <c:title>
          <c:tx>
            <c:rich>
              <a:bodyPr/>
              <a:lstStyle/>
              <a:p>
                <a:pPr>
                  <a:defRPr/>
                </a:pPr>
                <a:r>
                  <a:rPr lang="et-EE"/>
                  <a:t>x-telg</a:t>
                </a:r>
              </a:p>
            </c:rich>
          </c:tx>
          <c:overlay val="0"/>
        </c:title>
        <c:numFmt formatCode="0.0" sourceLinked="0"/>
        <c:majorTickMark val="none"/>
        <c:minorTickMark val="none"/>
        <c:tickLblPos val="nextTo"/>
        <c:crossAx val="242934912"/>
        <c:crosses val="autoZero"/>
        <c:crossBetween val="midCat"/>
      </c:valAx>
      <c:valAx>
        <c:axId val="242934912"/>
        <c:scaling>
          <c:orientation val="minMax"/>
        </c:scaling>
        <c:delete val="0"/>
        <c:axPos val="l"/>
        <c:majorGridlines/>
        <c:title>
          <c:tx>
            <c:rich>
              <a:bodyPr/>
              <a:lstStyle/>
              <a:p>
                <a:pPr>
                  <a:defRPr/>
                </a:pPr>
                <a:r>
                  <a:rPr lang="et-EE"/>
                  <a:t>y-telg</a:t>
                </a:r>
              </a:p>
            </c:rich>
          </c:tx>
          <c:layout>
            <c:manualLayout>
              <c:xMode val="edge"/>
              <c:yMode val="edge"/>
              <c:x val="8.3333333333333367E-3"/>
              <c:y val="0.43553805774278231"/>
            </c:manualLayout>
          </c:layout>
          <c:overlay val="0"/>
        </c:title>
        <c:numFmt formatCode="0.0" sourceLinked="0"/>
        <c:majorTickMark val="none"/>
        <c:minorTickMark val="none"/>
        <c:tickLblPos val="nextTo"/>
        <c:crossAx val="221216064"/>
        <c:crosses val="autoZero"/>
        <c:crossBetween val="midCat"/>
      </c:valAx>
      <c:valAx>
        <c:axId val="242975296"/>
        <c:scaling>
          <c:orientation val="minMax"/>
        </c:scaling>
        <c:delete val="0"/>
        <c:axPos val="r"/>
        <c:numFmt formatCode="0.0" sourceLinked="0"/>
        <c:majorTickMark val="out"/>
        <c:minorTickMark val="none"/>
        <c:tickLblPos val="nextTo"/>
        <c:crossAx val="242979328"/>
        <c:crosses val="max"/>
        <c:crossBetween val="midCat"/>
      </c:valAx>
      <c:valAx>
        <c:axId val="242979328"/>
        <c:scaling>
          <c:orientation val="minMax"/>
        </c:scaling>
        <c:delete val="1"/>
        <c:axPos val="b"/>
        <c:numFmt formatCode="0.000" sourceLinked="1"/>
        <c:majorTickMark val="out"/>
        <c:minorTickMark val="none"/>
        <c:tickLblPos val="none"/>
        <c:crossAx val="242975296"/>
        <c:crosses val="autoZero"/>
        <c:crossBetween val="midCat"/>
      </c:valAx>
      <c:spPr>
        <a:solidFill>
          <a:srgbClr val="FFFFCC"/>
        </a:solidFill>
      </c:spPr>
    </c:plotArea>
    <c:legend>
      <c:legendPos val="r"/>
      <c:layout>
        <c:manualLayout>
          <c:xMode val="edge"/>
          <c:yMode val="edge"/>
          <c:x val="0.60965266841644794"/>
          <c:y val="0.88613225430154552"/>
          <c:w val="0.36534733158355198"/>
          <c:h val="9.7989938757655284E-2"/>
        </c:manualLayout>
      </c:layout>
      <c:overlay val="0"/>
    </c:legend>
    <c:plotVisOnly val="1"/>
    <c:dispBlanksAs val="gap"/>
    <c:showDLblsOverMax val="0"/>
  </c:chart>
  <c:spPr>
    <a:ln>
      <a:solidFill>
        <a:srgbClr val="4F81BD"/>
      </a:solidFill>
    </a:ln>
  </c:spPr>
  <c:printSettings>
    <c:headerFooter/>
    <c:pageMargins b="0.75000000000000278" l="0.70000000000000062" r="0.70000000000000062" t="0.7500000000000027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t-EE"/>
              <a:t>Toidukaupade müük</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t-EE"/>
        </a:p>
      </c:txPr>
    </c:title>
    <c:autoTitleDeleted val="0"/>
    <c:plotArea>
      <c:layout/>
      <c:barChart>
        <c:barDir val="col"/>
        <c:grouping val="clustered"/>
        <c:varyColors val="0"/>
        <c:ser>
          <c:idx val="0"/>
          <c:order val="0"/>
          <c:tx>
            <c:strRef>
              <c:f>Diagramm!$B$3</c:f>
              <c:strCache>
                <c:ptCount val="1"/>
                <c:pt idx="0">
                  <c:v>Kask</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Diagramm!$C$2:$G$2</c15:sqref>
                  </c15:fullRef>
                </c:ext>
              </c:extLst>
              <c:f>Diagramm!$C$2:$F$2</c:f>
              <c:strCache>
                <c:ptCount val="4"/>
                <c:pt idx="0">
                  <c:v>jahu</c:v>
                </c:pt>
                <c:pt idx="1">
                  <c:v>manna</c:v>
                </c:pt>
                <c:pt idx="2">
                  <c:v>riis</c:v>
                </c:pt>
                <c:pt idx="3">
                  <c:v>suhkur</c:v>
                </c:pt>
              </c:strCache>
            </c:strRef>
          </c:cat>
          <c:val>
            <c:numRef>
              <c:extLst>
                <c:ext xmlns:c15="http://schemas.microsoft.com/office/drawing/2012/chart" uri="{02D57815-91ED-43cb-92C2-25804820EDAC}">
                  <c15:fullRef>
                    <c15:sqref>Diagramm!$C$3:$G$3</c15:sqref>
                  </c15:fullRef>
                </c:ext>
              </c:extLst>
              <c:f>Diagramm!$C$3:$F$3</c:f>
              <c:numCache>
                <c:formatCode>General</c:formatCode>
                <c:ptCount val="4"/>
                <c:pt idx="0">
                  <c:v>749</c:v>
                </c:pt>
                <c:pt idx="1">
                  <c:v>442</c:v>
                </c:pt>
                <c:pt idx="2">
                  <c:v>665</c:v>
                </c:pt>
                <c:pt idx="3">
                  <c:v>527</c:v>
                </c:pt>
              </c:numCache>
            </c:numRef>
          </c:val>
          <c:extLst>
            <c:ext xmlns:c16="http://schemas.microsoft.com/office/drawing/2014/chart" uri="{C3380CC4-5D6E-409C-BE32-E72D297353CC}">
              <c16:uniqueId val="{00000000-2A5B-4FD6-897D-8C1A5FE4C5E5}"/>
            </c:ext>
          </c:extLst>
        </c:ser>
        <c:ser>
          <c:idx val="1"/>
          <c:order val="1"/>
          <c:tx>
            <c:strRef>
              <c:f>Diagramm!$B$4</c:f>
              <c:strCache>
                <c:ptCount val="1"/>
                <c:pt idx="0">
                  <c:v>Paju</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Diagramm!$C$2:$G$2</c15:sqref>
                  </c15:fullRef>
                </c:ext>
              </c:extLst>
              <c:f>Diagramm!$C$2:$F$2</c:f>
              <c:strCache>
                <c:ptCount val="4"/>
                <c:pt idx="0">
                  <c:v>jahu</c:v>
                </c:pt>
                <c:pt idx="1">
                  <c:v>manna</c:v>
                </c:pt>
                <c:pt idx="2">
                  <c:v>riis</c:v>
                </c:pt>
                <c:pt idx="3">
                  <c:v>suhkur</c:v>
                </c:pt>
              </c:strCache>
            </c:strRef>
          </c:cat>
          <c:val>
            <c:numRef>
              <c:extLst>
                <c:ext xmlns:c15="http://schemas.microsoft.com/office/drawing/2012/chart" uri="{02D57815-91ED-43cb-92C2-25804820EDAC}">
                  <c15:fullRef>
                    <c15:sqref>Diagramm!$C$4:$G$4</c15:sqref>
                  </c15:fullRef>
                </c:ext>
              </c:extLst>
              <c:f>Diagramm!$C$4:$F$4</c:f>
              <c:numCache>
                <c:formatCode>General</c:formatCode>
                <c:ptCount val="4"/>
                <c:pt idx="0">
                  <c:v>920</c:v>
                </c:pt>
                <c:pt idx="1">
                  <c:v>45</c:v>
                </c:pt>
                <c:pt idx="2">
                  <c:v>45</c:v>
                </c:pt>
                <c:pt idx="3">
                  <c:v>210</c:v>
                </c:pt>
              </c:numCache>
            </c:numRef>
          </c:val>
          <c:extLst>
            <c:ext xmlns:c16="http://schemas.microsoft.com/office/drawing/2014/chart" uri="{C3380CC4-5D6E-409C-BE32-E72D297353CC}">
              <c16:uniqueId val="{00000001-2A5B-4FD6-897D-8C1A5FE4C5E5}"/>
            </c:ext>
          </c:extLst>
        </c:ser>
        <c:ser>
          <c:idx val="2"/>
          <c:order val="2"/>
          <c:tx>
            <c:strRef>
              <c:f>Diagramm!$B$5</c:f>
              <c:strCache>
                <c:ptCount val="1"/>
                <c:pt idx="0">
                  <c:v>Saar</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Diagramm!$C$2:$G$2</c15:sqref>
                  </c15:fullRef>
                </c:ext>
              </c:extLst>
              <c:f>Diagramm!$C$2:$F$2</c:f>
              <c:strCache>
                <c:ptCount val="4"/>
                <c:pt idx="0">
                  <c:v>jahu</c:v>
                </c:pt>
                <c:pt idx="1">
                  <c:v>manna</c:v>
                </c:pt>
                <c:pt idx="2">
                  <c:v>riis</c:v>
                </c:pt>
                <c:pt idx="3">
                  <c:v>suhkur</c:v>
                </c:pt>
              </c:strCache>
            </c:strRef>
          </c:cat>
          <c:val>
            <c:numRef>
              <c:extLst>
                <c:ext xmlns:c15="http://schemas.microsoft.com/office/drawing/2012/chart" uri="{02D57815-91ED-43cb-92C2-25804820EDAC}">
                  <c15:fullRef>
                    <c15:sqref>Diagramm!$C$5:$G$5</c15:sqref>
                  </c15:fullRef>
                </c:ext>
              </c:extLst>
              <c:f>Diagramm!$C$5:$F$5</c:f>
              <c:numCache>
                <c:formatCode>General</c:formatCode>
                <c:ptCount val="4"/>
                <c:pt idx="0">
                  <c:v>1250</c:v>
                </c:pt>
                <c:pt idx="1">
                  <c:v>110</c:v>
                </c:pt>
                <c:pt idx="2">
                  <c:v>915</c:v>
                </c:pt>
                <c:pt idx="3">
                  <c:v>60</c:v>
                </c:pt>
              </c:numCache>
            </c:numRef>
          </c:val>
          <c:extLst>
            <c:ext xmlns:c16="http://schemas.microsoft.com/office/drawing/2014/chart" uri="{C3380CC4-5D6E-409C-BE32-E72D297353CC}">
              <c16:uniqueId val="{00000002-2A5B-4FD6-897D-8C1A5FE4C5E5}"/>
            </c:ext>
          </c:extLst>
        </c:ser>
        <c:ser>
          <c:idx val="3"/>
          <c:order val="3"/>
          <c:tx>
            <c:strRef>
              <c:f>Diagramm!$B$6</c:f>
              <c:strCache>
                <c:ptCount val="1"/>
                <c:pt idx="0">
                  <c:v>Tamm</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Diagramm!$C$2:$G$2</c15:sqref>
                  </c15:fullRef>
                </c:ext>
              </c:extLst>
              <c:f>Diagramm!$C$2:$F$2</c:f>
              <c:strCache>
                <c:ptCount val="4"/>
                <c:pt idx="0">
                  <c:v>jahu</c:v>
                </c:pt>
                <c:pt idx="1">
                  <c:v>manna</c:v>
                </c:pt>
                <c:pt idx="2">
                  <c:v>riis</c:v>
                </c:pt>
                <c:pt idx="3">
                  <c:v>suhkur</c:v>
                </c:pt>
              </c:strCache>
            </c:strRef>
          </c:cat>
          <c:val>
            <c:numRef>
              <c:extLst>
                <c:ext xmlns:c15="http://schemas.microsoft.com/office/drawing/2012/chart" uri="{02D57815-91ED-43cb-92C2-25804820EDAC}">
                  <c15:fullRef>
                    <c15:sqref>Diagramm!$C$6:$G$6</c15:sqref>
                  </c15:fullRef>
                </c:ext>
              </c:extLst>
              <c:f>Diagramm!$C$6:$F$6</c:f>
              <c:numCache>
                <c:formatCode>General</c:formatCode>
                <c:ptCount val="4"/>
                <c:pt idx="0">
                  <c:v>300</c:v>
                </c:pt>
                <c:pt idx="1">
                  <c:v>45</c:v>
                </c:pt>
                <c:pt idx="3">
                  <c:v>510</c:v>
                </c:pt>
              </c:numCache>
            </c:numRef>
          </c:val>
          <c:extLst>
            <c:ext xmlns:c16="http://schemas.microsoft.com/office/drawing/2014/chart" uri="{C3380CC4-5D6E-409C-BE32-E72D297353CC}">
              <c16:uniqueId val="{00000003-2A5B-4FD6-897D-8C1A5FE4C5E5}"/>
            </c:ext>
          </c:extLst>
        </c:ser>
        <c:dLbls>
          <c:showLegendKey val="0"/>
          <c:showVal val="0"/>
          <c:showCatName val="0"/>
          <c:showSerName val="0"/>
          <c:showPercent val="0"/>
          <c:showBubbleSize val="0"/>
        </c:dLbls>
        <c:gapWidth val="100"/>
        <c:overlap val="-24"/>
        <c:axId val="1267647775"/>
        <c:axId val="1266057647"/>
      </c:barChart>
      <c:catAx>
        <c:axId val="126764777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266057647"/>
        <c:crosses val="autoZero"/>
        <c:auto val="1"/>
        <c:lblAlgn val="ctr"/>
        <c:lblOffset val="100"/>
        <c:noMultiLvlLbl val="0"/>
      </c:catAx>
      <c:valAx>
        <c:axId val="1266057647"/>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267647775"/>
        <c:crosses val="autoZero"/>
        <c:crossBetween val="between"/>
      </c:valAx>
      <c:spPr>
        <a:solidFill>
          <a:schemeClr val="bg1">
            <a:lumMod val="75000"/>
          </a:schemeClr>
        </a:solid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t-EE"/>
              <a:t>Jahu müük</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t-EE"/>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Diagramm!$C$2</c:f>
              <c:strCache>
                <c:ptCount val="1"/>
                <c:pt idx="0">
                  <c:v>jahu</c:v>
                </c:pt>
              </c:strCache>
            </c:strRef>
          </c:tx>
          <c:explosion val="12"/>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D31B-41D5-897A-0369F5A6CED1}"/>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D31B-41D5-897A-0369F5A6CED1}"/>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D31B-41D5-897A-0369F5A6CED1}"/>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D31B-41D5-897A-0369F5A6CED1}"/>
              </c:ext>
            </c:extLst>
          </c:dPt>
          <c:dLbls>
            <c:dLbl>
              <c:idx val="0"/>
              <c:layout>
                <c:manualLayout>
                  <c:x val="-0.1735728346456693"/>
                  <c:y val="8.7308253135024785E-2"/>
                </c:manualLayout>
              </c:layout>
              <c:tx>
                <c:rich>
                  <a:bodyPr/>
                  <a:lstStyle/>
                  <a:p>
                    <a:fld id="{D01AE5DB-C03F-4721-A9F6-F0C468A7FA17}" type="CATEGORYNAME">
                      <a:rPr lang="en-US">
                        <a:solidFill>
                          <a:schemeClr val="tx1"/>
                        </a:solidFill>
                      </a:rPr>
                      <a:pPr/>
                      <a:t>[CATEGORY NAME]</a:t>
                    </a:fld>
                    <a:r>
                      <a:rPr lang="en-US" baseline="0">
                        <a:solidFill>
                          <a:schemeClr val="tx1"/>
                        </a:solidFill>
                      </a:rPr>
                      <a:t>
</a:t>
                    </a:r>
                    <a:fld id="{1BF5BF43-2B00-4961-92D1-ECB736E9D96D}" type="PERCENTAGE">
                      <a:rPr lang="en-US" baseline="0">
                        <a:solidFill>
                          <a:schemeClr val="tx1"/>
                        </a:solidFill>
                      </a:rPr>
                      <a:pPr/>
                      <a:t>[PERCENTAGE]</a:t>
                    </a:fld>
                    <a:endParaRPr lang="en-US" baseline="0">
                      <a:solidFill>
                        <a:schemeClr val="tx1"/>
                      </a:solidFill>
                    </a:endParaRPr>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D31B-41D5-897A-0369F5A6CED1}"/>
                </c:ext>
              </c:extLst>
            </c:dLbl>
            <c:dLbl>
              <c:idx val="1"/>
              <c:layout>
                <c:manualLayout>
                  <c:x val="-0.11738079615048119"/>
                  <c:y val="-6.5473170020414279E-2"/>
                </c:manualLayout>
              </c:layout>
              <c:tx>
                <c:rich>
                  <a:bodyPr/>
                  <a:lstStyle/>
                  <a:p>
                    <a:fld id="{6E6C3EE6-32D8-4151-ABD7-6037EA9ADFFA}" type="CATEGORYNAME">
                      <a:rPr lang="en-US">
                        <a:solidFill>
                          <a:schemeClr val="bg1"/>
                        </a:solidFill>
                      </a:rPr>
                      <a:pPr/>
                      <a:t>[CATEGORY NAME]</a:t>
                    </a:fld>
                    <a:r>
                      <a:rPr lang="en-US" baseline="0">
                        <a:solidFill>
                          <a:schemeClr val="bg1"/>
                        </a:solidFill>
                      </a:rPr>
                      <a:t>
</a:t>
                    </a:r>
                    <a:fld id="{63AFE19E-FD82-4F2E-8943-DCF17FE8E5BF}" type="PERCENTAGE">
                      <a:rPr lang="en-US" baseline="0">
                        <a:solidFill>
                          <a:schemeClr val="bg1"/>
                        </a:solidFill>
                      </a:rPr>
                      <a:pPr/>
                      <a:t>[PERCENTAGE]</a:t>
                    </a:fld>
                    <a:endParaRPr lang="en-US" baseline="0">
                      <a:solidFill>
                        <a:schemeClr val="bg1"/>
                      </a:solidFill>
                    </a:endParaRPr>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D31B-41D5-897A-0369F5A6CED1}"/>
                </c:ext>
              </c:extLst>
            </c:dLbl>
            <c:dLbl>
              <c:idx val="2"/>
              <c:layout>
                <c:manualLayout>
                  <c:x val="0.20226246719160104"/>
                  <c:y val="-0.13631342957130357"/>
                </c:manualLayout>
              </c:layout>
              <c:tx>
                <c:rich>
                  <a:bodyPr/>
                  <a:lstStyle/>
                  <a:p>
                    <a:fld id="{B5571C7B-1EC9-4CAC-9C48-96A21AF5FFEE}" type="CATEGORYNAME">
                      <a:rPr lang="en-US">
                        <a:solidFill>
                          <a:schemeClr val="tx1"/>
                        </a:solidFill>
                      </a:rPr>
                      <a:pPr/>
                      <a:t>[CATEGORY NAME]</a:t>
                    </a:fld>
                    <a:r>
                      <a:rPr lang="en-US" baseline="0"/>
                      <a:t>
</a:t>
                    </a:r>
                    <a:fld id="{EE42EEB0-55AA-4DEE-813E-E5206F73C41C}" type="PERCENTAGE">
                      <a:rPr lang="en-US" baseline="0">
                        <a:solidFill>
                          <a:schemeClr val="tx1"/>
                        </a:solidFill>
                      </a:rPr>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31B-41D5-897A-0369F5A6CED1}"/>
                </c:ext>
              </c:extLst>
            </c:dLbl>
            <c:dLbl>
              <c:idx val="3"/>
              <c:tx>
                <c:rich>
                  <a:bodyPr/>
                  <a:lstStyle/>
                  <a:p>
                    <a:fld id="{32D971FB-CB2B-4A40-A210-0F93A8B4308E}" type="CATEGORYNAME">
                      <a:rPr lang="en-US">
                        <a:solidFill>
                          <a:schemeClr val="tx1"/>
                        </a:solidFill>
                      </a:rPr>
                      <a:pPr/>
                      <a:t>[CATEGORY NAME]</a:t>
                    </a:fld>
                    <a:r>
                      <a:rPr lang="en-US" baseline="0">
                        <a:solidFill>
                          <a:schemeClr val="tx1"/>
                        </a:solidFill>
                      </a:rPr>
                      <a:t>
</a:t>
                    </a:r>
                    <a:fld id="{F53E5343-ABEA-4F55-A148-A95BCEFB4BE1}" type="PERCENTAGE">
                      <a:rPr lang="en-US" baseline="0">
                        <a:solidFill>
                          <a:schemeClr val="tx1"/>
                        </a:solidFill>
                      </a:rPr>
                      <a:pPr/>
                      <a:t>[PERCENTAGE]</a:t>
                    </a:fld>
                    <a:endParaRPr lang="en-US" baseline="0">
                      <a:solidFill>
                        <a:schemeClr val="tx1"/>
                      </a:solidFill>
                    </a:endParaRPr>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D31B-41D5-897A-0369F5A6CE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t-EE"/>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Diagramm!$B$3:$B$7</c15:sqref>
                  </c15:fullRef>
                </c:ext>
              </c:extLst>
              <c:f>Diagramm!$B$3:$B$6</c:f>
              <c:strCache>
                <c:ptCount val="4"/>
                <c:pt idx="0">
                  <c:v>Kask</c:v>
                </c:pt>
                <c:pt idx="1">
                  <c:v>Paju</c:v>
                </c:pt>
                <c:pt idx="2">
                  <c:v>Saar</c:v>
                </c:pt>
                <c:pt idx="3">
                  <c:v>Tamm</c:v>
                </c:pt>
              </c:strCache>
            </c:strRef>
          </c:cat>
          <c:val>
            <c:numRef>
              <c:extLst>
                <c:ext xmlns:c15="http://schemas.microsoft.com/office/drawing/2012/chart" uri="{02D57815-91ED-43cb-92C2-25804820EDAC}">
                  <c15:fullRef>
                    <c15:sqref>Diagramm!$C$3:$C$7</c15:sqref>
                  </c15:fullRef>
                </c:ext>
              </c:extLst>
              <c:f>Diagramm!$C$3:$C$6</c:f>
              <c:numCache>
                <c:formatCode>General</c:formatCode>
                <c:ptCount val="4"/>
                <c:pt idx="0">
                  <c:v>749</c:v>
                </c:pt>
                <c:pt idx="1">
                  <c:v>920</c:v>
                </c:pt>
                <c:pt idx="2">
                  <c:v>1250</c:v>
                </c:pt>
                <c:pt idx="3">
                  <c:v>300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D31B-41D5-897A-0369F5A6CED1}"/>
            </c:ext>
          </c:extLst>
        </c:ser>
        <c:dLbls>
          <c:dLblPos val="in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t-EE"/>
              <a:t>Kogus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t-EE"/>
        </a:p>
      </c:txPr>
    </c:title>
    <c:autoTitleDeleted val="0"/>
    <c:plotArea>
      <c:layout>
        <c:manualLayout>
          <c:layoutTarget val="inner"/>
          <c:xMode val="edge"/>
          <c:yMode val="edge"/>
          <c:x val="7.2222222222222215E-2"/>
          <c:y val="0.21747703412073491"/>
          <c:w val="0.83611111111111114"/>
          <c:h val="0.67141185476815402"/>
        </c:manualLayout>
      </c:layout>
      <c:ofPieChart>
        <c:ofPieType val="pie"/>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42D-4168-82EF-83BEBCC0CA5C}"/>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42D-4168-82EF-83BEBCC0CA5C}"/>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42D-4168-82EF-83BEBCC0CA5C}"/>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642D-4168-82EF-83BEBCC0CA5C}"/>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642D-4168-82EF-83BEBCC0CA5C}"/>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88A1-4E54-8E04-5D398207DA4D}"/>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642D-4168-82EF-83BEBCC0CA5C}"/>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642D-4168-82EF-83BEBCC0CA5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t-EE"/>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Diagramm!$I$14:$I$20</c:f>
              <c:strCache>
                <c:ptCount val="7"/>
                <c:pt idx="0">
                  <c:v>Jahu</c:v>
                </c:pt>
                <c:pt idx="1">
                  <c:v>Manna</c:v>
                </c:pt>
                <c:pt idx="2">
                  <c:v>Pipar</c:v>
                </c:pt>
                <c:pt idx="3">
                  <c:v>Riis</c:v>
                </c:pt>
                <c:pt idx="4">
                  <c:v>Sool</c:v>
                </c:pt>
                <c:pt idx="5">
                  <c:v>Suhkur</c:v>
                </c:pt>
                <c:pt idx="6">
                  <c:v>Tatar</c:v>
                </c:pt>
              </c:strCache>
            </c:strRef>
          </c:cat>
          <c:val>
            <c:numRef>
              <c:f>Diagramm!$J$14:$J$20</c:f>
              <c:numCache>
                <c:formatCode>General</c:formatCode>
                <c:ptCount val="7"/>
                <c:pt idx="0">
                  <c:v>200</c:v>
                </c:pt>
                <c:pt idx="1">
                  <c:v>190</c:v>
                </c:pt>
                <c:pt idx="2">
                  <c:v>30</c:v>
                </c:pt>
                <c:pt idx="3">
                  <c:v>240</c:v>
                </c:pt>
                <c:pt idx="4">
                  <c:v>30</c:v>
                </c:pt>
                <c:pt idx="5">
                  <c:v>270</c:v>
                </c:pt>
                <c:pt idx="6">
                  <c:v>40</c:v>
                </c:pt>
              </c:numCache>
            </c:numRef>
          </c:val>
          <c:extLst>
            <c:ext xmlns:c16="http://schemas.microsoft.com/office/drawing/2014/chart" uri="{C3380CC4-5D6E-409C-BE32-E72D297353CC}">
              <c16:uniqueId val="{00000000-88A1-4E54-8E04-5D398207DA4D}"/>
            </c:ext>
          </c:extLst>
        </c:ser>
        <c:dLbls>
          <c:dLblPos val="inEnd"/>
          <c:showLegendKey val="0"/>
          <c:showVal val="0"/>
          <c:showCatName val="1"/>
          <c:showSerName val="0"/>
          <c:showPercent val="1"/>
          <c:showBubbleSize val="0"/>
          <c:showLeaderLines val="1"/>
        </c:dLbls>
        <c:gapWidth val="100"/>
        <c:splitType val="percent"/>
        <c:splitPos val="10"/>
        <c:secondPieSize val="75"/>
        <c:serLines>
          <c:spPr>
            <a:ln w="9525" cap="flat" cmpd="sng" algn="ctr">
              <a:solidFill>
                <a:schemeClr val="tx1"/>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t-E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strRef>
          <c:f>Diagrammi_naide!$B$2</c:f>
          <c:strCache>
            <c:ptCount val="1"/>
            <c:pt idx="0">
              <c:v>Tabel 1. Toidukaupade müük</c:v>
            </c:pt>
          </c:strCache>
        </c:strRef>
      </c:tx>
      <c:overlay val="0"/>
    </c:title>
    <c:autoTitleDeleted val="0"/>
    <c:plotArea>
      <c:layout/>
      <c:barChart>
        <c:barDir val="col"/>
        <c:grouping val="clustered"/>
        <c:varyColors val="0"/>
        <c:ser>
          <c:idx val="0"/>
          <c:order val="0"/>
          <c:tx>
            <c:strRef>
              <c:f>Diagrammi_naide!$B$4</c:f>
              <c:strCache>
                <c:ptCount val="1"/>
                <c:pt idx="0">
                  <c:v>Kask</c:v>
                </c:pt>
              </c:strCache>
            </c:strRef>
          </c:tx>
          <c:invertIfNegative val="0"/>
          <c:cat>
            <c:strRef>
              <c:f>Diagrammi_naide!$C$3:$F$3</c:f>
              <c:strCache>
                <c:ptCount val="4"/>
                <c:pt idx="0">
                  <c:v>jahu</c:v>
                </c:pt>
                <c:pt idx="1">
                  <c:v>manna</c:v>
                </c:pt>
                <c:pt idx="2">
                  <c:v>riis</c:v>
                </c:pt>
                <c:pt idx="3">
                  <c:v>suhkur</c:v>
                </c:pt>
              </c:strCache>
            </c:strRef>
          </c:cat>
          <c:val>
            <c:numRef>
              <c:f>Diagrammi_naide!$C$4:$F$4</c:f>
              <c:numCache>
                <c:formatCode>General</c:formatCode>
                <c:ptCount val="4"/>
                <c:pt idx="0">
                  <c:v>749</c:v>
                </c:pt>
                <c:pt idx="1">
                  <c:v>442</c:v>
                </c:pt>
                <c:pt idx="2">
                  <c:v>665</c:v>
                </c:pt>
                <c:pt idx="3">
                  <c:v>527</c:v>
                </c:pt>
              </c:numCache>
            </c:numRef>
          </c:val>
          <c:extLst>
            <c:ext xmlns:c16="http://schemas.microsoft.com/office/drawing/2014/chart" uri="{C3380CC4-5D6E-409C-BE32-E72D297353CC}">
              <c16:uniqueId val="{00000000-60F3-4DA0-ADF4-AC99ACC28A4A}"/>
            </c:ext>
          </c:extLst>
        </c:ser>
        <c:ser>
          <c:idx val="1"/>
          <c:order val="1"/>
          <c:tx>
            <c:strRef>
              <c:f>Diagrammi_naide!$B$5</c:f>
              <c:strCache>
                <c:ptCount val="1"/>
                <c:pt idx="0">
                  <c:v>Paju</c:v>
                </c:pt>
              </c:strCache>
            </c:strRef>
          </c:tx>
          <c:invertIfNegative val="0"/>
          <c:cat>
            <c:strRef>
              <c:f>Diagrammi_naide!$C$3:$F$3</c:f>
              <c:strCache>
                <c:ptCount val="4"/>
                <c:pt idx="0">
                  <c:v>jahu</c:v>
                </c:pt>
                <c:pt idx="1">
                  <c:v>manna</c:v>
                </c:pt>
                <c:pt idx="2">
                  <c:v>riis</c:v>
                </c:pt>
                <c:pt idx="3">
                  <c:v>suhkur</c:v>
                </c:pt>
              </c:strCache>
            </c:strRef>
          </c:cat>
          <c:val>
            <c:numRef>
              <c:f>Diagrammi_naide!$C$5:$F$5</c:f>
              <c:numCache>
                <c:formatCode>General</c:formatCode>
                <c:ptCount val="4"/>
                <c:pt idx="0">
                  <c:v>920</c:v>
                </c:pt>
                <c:pt idx="1">
                  <c:v>45</c:v>
                </c:pt>
                <c:pt idx="2">
                  <c:v>45</c:v>
                </c:pt>
                <c:pt idx="3">
                  <c:v>210</c:v>
                </c:pt>
              </c:numCache>
            </c:numRef>
          </c:val>
          <c:extLst>
            <c:ext xmlns:c16="http://schemas.microsoft.com/office/drawing/2014/chart" uri="{C3380CC4-5D6E-409C-BE32-E72D297353CC}">
              <c16:uniqueId val="{00000001-60F3-4DA0-ADF4-AC99ACC28A4A}"/>
            </c:ext>
          </c:extLst>
        </c:ser>
        <c:ser>
          <c:idx val="2"/>
          <c:order val="2"/>
          <c:tx>
            <c:strRef>
              <c:f>Diagrammi_naide!$B$6</c:f>
              <c:strCache>
                <c:ptCount val="1"/>
                <c:pt idx="0">
                  <c:v>Saar</c:v>
                </c:pt>
              </c:strCache>
            </c:strRef>
          </c:tx>
          <c:invertIfNegative val="0"/>
          <c:cat>
            <c:strRef>
              <c:f>Diagrammi_naide!$C$3:$F$3</c:f>
              <c:strCache>
                <c:ptCount val="4"/>
                <c:pt idx="0">
                  <c:v>jahu</c:v>
                </c:pt>
                <c:pt idx="1">
                  <c:v>manna</c:v>
                </c:pt>
                <c:pt idx="2">
                  <c:v>riis</c:v>
                </c:pt>
                <c:pt idx="3">
                  <c:v>suhkur</c:v>
                </c:pt>
              </c:strCache>
            </c:strRef>
          </c:cat>
          <c:val>
            <c:numRef>
              <c:f>Diagrammi_naide!$C$6:$F$6</c:f>
              <c:numCache>
                <c:formatCode>General</c:formatCode>
                <c:ptCount val="4"/>
                <c:pt idx="0">
                  <c:v>1250</c:v>
                </c:pt>
                <c:pt idx="1">
                  <c:v>110</c:v>
                </c:pt>
                <c:pt idx="2">
                  <c:v>915</c:v>
                </c:pt>
                <c:pt idx="3">
                  <c:v>60</c:v>
                </c:pt>
              </c:numCache>
            </c:numRef>
          </c:val>
          <c:extLst>
            <c:ext xmlns:c16="http://schemas.microsoft.com/office/drawing/2014/chart" uri="{C3380CC4-5D6E-409C-BE32-E72D297353CC}">
              <c16:uniqueId val="{00000002-60F3-4DA0-ADF4-AC99ACC28A4A}"/>
            </c:ext>
          </c:extLst>
        </c:ser>
        <c:ser>
          <c:idx val="3"/>
          <c:order val="3"/>
          <c:tx>
            <c:strRef>
              <c:f>Diagrammi_naide!$B$7</c:f>
              <c:strCache>
                <c:ptCount val="1"/>
                <c:pt idx="0">
                  <c:v>Tamm</c:v>
                </c:pt>
              </c:strCache>
            </c:strRef>
          </c:tx>
          <c:invertIfNegative val="0"/>
          <c:cat>
            <c:strRef>
              <c:f>Diagrammi_naide!$C$3:$F$3</c:f>
              <c:strCache>
                <c:ptCount val="4"/>
                <c:pt idx="0">
                  <c:v>jahu</c:v>
                </c:pt>
                <c:pt idx="1">
                  <c:v>manna</c:v>
                </c:pt>
                <c:pt idx="2">
                  <c:v>riis</c:v>
                </c:pt>
                <c:pt idx="3">
                  <c:v>suhkur</c:v>
                </c:pt>
              </c:strCache>
            </c:strRef>
          </c:cat>
          <c:val>
            <c:numRef>
              <c:f>Diagrammi_naide!$C$7:$F$7</c:f>
              <c:numCache>
                <c:formatCode>General</c:formatCode>
                <c:ptCount val="4"/>
                <c:pt idx="0">
                  <c:v>300</c:v>
                </c:pt>
                <c:pt idx="1">
                  <c:v>45</c:v>
                </c:pt>
                <c:pt idx="3">
                  <c:v>510</c:v>
                </c:pt>
              </c:numCache>
            </c:numRef>
          </c:val>
          <c:extLst>
            <c:ext xmlns:c16="http://schemas.microsoft.com/office/drawing/2014/chart" uri="{C3380CC4-5D6E-409C-BE32-E72D297353CC}">
              <c16:uniqueId val="{00000003-60F3-4DA0-ADF4-AC99ACC28A4A}"/>
            </c:ext>
          </c:extLst>
        </c:ser>
        <c:dLbls>
          <c:showLegendKey val="0"/>
          <c:showVal val="0"/>
          <c:showCatName val="0"/>
          <c:showSerName val="0"/>
          <c:showPercent val="0"/>
          <c:showBubbleSize val="0"/>
        </c:dLbls>
        <c:gapWidth val="75"/>
        <c:overlap val="-25"/>
        <c:axId val="218167808"/>
        <c:axId val="243896256"/>
      </c:barChart>
      <c:catAx>
        <c:axId val="218167808"/>
        <c:scaling>
          <c:orientation val="minMax"/>
        </c:scaling>
        <c:delete val="0"/>
        <c:axPos val="b"/>
        <c:numFmt formatCode="General" sourceLinked="0"/>
        <c:majorTickMark val="none"/>
        <c:minorTickMark val="none"/>
        <c:tickLblPos val="nextTo"/>
        <c:crossAx val="243896256"/>
        <c:crosses val="autoZero"/>
        <c:auto val="1"/>
        <c:lblAlgn val="ctr"/>
        <c:lblOffset val="100"/>
        <c:noMultiLvlLbl val="0"/>
      </c:catAx>
      <c:valAx>
        <c:axId val="243896256"/>
        <c:scaling>
          <c:orientation val="minMax"/>
        </c:scaling>
        <c:delete val="0"/>
        <c:axPos val="l"/>
        <c:majorGridlines/>
        <c:numFmt formatCode="General" sourceLinked="1"/>
        <c:majorTickMark val="none"/>
        <c:minorTickMark val="none"/>
        <c:tickLblPos val="nextTo"/>
        <c:crossAx val="218167808"/>
        <c:crosses val="autoZero"/>
        <c:crossBetween val="between"/>
      </c:valAx>
      <c:spPr>
        <a:solidFill>
          <a:schemeClr val="bg1">
            <a:lumMod val="85000"/>
          </a:schemeClr>
        </a:solidFill>
      </c:spPr>
    </c:plotArea>
    <c:legend>
      <c:legendPos val="b"/>
      <c:overlay val="0"/>
    </c:legend>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t-EE"/>
              <a:t>Jahu müük</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5.1388888888888887E-2"/>
          <c:y val="0.17379192184310294"/>
          <c:w val="0.906944444444446"/>
          <c:h val="0.72174504228638436"/>
        </c:manualLayout>
      </c:layout>
      <c:pie3DChart>
        <c:varyColors val="1"/>
        <c:ser>
          <c:idx val="0"/>
          <c:order val="0"/>
          <c:tx>
            <c:strRef>
              <c:f>Diagrammi_naide!$C$3</c:f>
              <c:strCache>
                <c:ptCount val="1"/>
                <c:pt idx="0">
                  <c:v>jahu</c:v>
                </c:pt>
              </c:strCache>
            </c:strRef>
          </c:tx>
          <c:explosion val="19"/>
          <c:dPt>
            <c:idx val="0"/>
            <c:bubble3D val="0"/>
            <c:spPr>
              <a:solidFill>
                <a:schemeClr val="tx2">
                  <a:lumMod val="40000"/>
                  <a:lumOff val="60000"/>
                </a:schemeClr>
              </a:solidFill>
            </c:spPr>
            <c:extLst>
              <c:ext xmlns:c16="http://schemas.microsoft.com/office/drawing/2014/chart" uri="{C3380CC4-5D6E-409C-BE32-E72D297353CC}">
                <c16:uniqueId val="{00000001-C831-4ADD-A92B-150A925E15F8}"/>
              </c:ext>
            </c:extLst>
          </c:dPt>
          <c:dPt>
            <c:idx val="1"/>
            <c:bubble3D val="0"/>
            <c:spPr>
              <a:solidFill>
                <a:srgbClr val="FFC000"/>
              </a:solidFill>
            </c:spPr>
            <c:extLst>
              <c:ext xmlns:c16="http://schemas.microsoft.com/office/drawing/2014/chart" uri="{C3380CC4-5D6E-409C-BE32-E72D297353CC}">
                <c16:uniqueId val="{00000003-C831-4ADD-A92B-150A925E15F8}"/>
              </c:ext>
            </c:extLst>
          </c:dPt>
          <c:dPt>
            <c:idx val="3"/>
            <c:bubble3D val="0"/>
            <c:spPr>
              <a:solidFill>
                <a:schemeClr val="accent2">
                  <a:lumMod val="40000"/>
                  <a:lumOff val="60000"/>
                </a:schemeClr>
              </a:solidFill>
            </c:spPr>
            <c:extLst>
              <c:ext xmlns:c16="http://schemas.microsoft.com/office/drawing/2014/chart" uri="{C3380CC4-5D6E-409C-BE32-E72D297353CC}">
                <c16:uniqueId val="{00000005-C831-4ADD-A92B-150A925E15F8}"/>
              </c:ext>
            </c:extLst>
          </c:dPt>
          <c:dLbls>
            <c:dLbl>
              <c:idx val="0"/>
              <c:layout>
                <c:manualLayout>
                  <c:x val="-0.15708355205599342"/>
                  <c:y val="8.877114319043485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831-4ADD-A92B-150A925E15F8}"/>
                </c:ext>
              </c:extLst>
            </c:dLbl>
            <c:dLbl>
              <c:idx val="1"/>
              <c:layout>
                <c:manualLayout>
                  <c:x val="-0.13761154855643098"/>
                  <c:y val="-3.0162219305920088E-2"/>
                </c:manualLayout>
              </c:layout>
              <c:spPr>
                <a:noFill/>
              </c:spPr>
              <c:txPr>
                <a:bodyPr/>
                <a:lstStyle/>
                <a:p>
                  <a:pPr>
                    <a:defRPr b="1" i="1" baseline="0">
                      <a:solidFill>
                        <a:schemeClr val="bg1"/>
                      </a:solidFill>
                    </a:defRPr>
                  </a:pPr>
                  <a:endParaRPr lang="et-EE"/>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831-4ADD-A92B-150A925E15F8}"/>
                </c:ext>
              </c:extLst>
            </c:dLbl>
            <c:dLbl>
              <c:idx val="2"/>
              <c:layout>
                <c:manualLayout>
                  <c:x val="0.20081452318460188"/>
                  <c:y val="-0.119130212890055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831-4ADD-A92B-150A925E15F8}"/>
                </c:ext>
              </c:extLst>
            </c:dLbl>
            <c:spPr>
              <a:noFill/>
              <a:ln>
                <a:noFill/>
              </a:ln>
              <a:effectLst/>
            </c:spPr>
            <c:txPr>
              <a:bodyPr/>
              <a:lstStyle/>
              <a:p>
                <a:pPr>
                  <a:defRPr b="1" i="1" baseline="0"/>
                </a:pPr>
                <a:endParaRPr lang="et-EE"/>
              </a:p>
            </c:txPr>
            <c:showLegendKey val="0"/>
            <c:showVal val="0"/>
            <c:showCatName val="1"/>
            <c:showSerName val="0"/>
            <c:showPercent val="1"/>
            <c:showBubbleSize val="0"/>
            <c:showLeaderLines val="1"/>
            <c:extLst>
              <c:ext xmlns:c15="http://schemas.microsoft.com/office/drawing/2012/chart" uri="{CE6537A1-D6FC-4f65-9D91-7224C49458BB}"/>
            </c:extLst>
          </c:dLbls>
          <c:cat>
            <c:strRef>
              <c:f>Diagrammi_naide!$B$4:$B$7</c:f>
              <c:strCache>
                <c:ptCount val="4"/>
                <c:pt idx="0">
                  <c:v>Kask</c:v>
                </c:pt>
                <c:pt idx="1">
                  <c:v>Paju</c:v>
                </c:pt>
                <c:pt idx="2">
                  <c:v>Saar</c:v>
                </c:pt>
                <c:pt idx="3">
                  <c:v>Tamm</c:v>
                </c:pt>
              </c:strCache>
            </c:strRef>
          </c:cat>
          <c:val>
            <c:numRef>
              <c:f>Diagrammi_naide!$C$4:$C$7</c:f>
              <c:numCache>
                <c:formatCode>General</c:formatCode>
                <c:ptCount val="4"/>
                <c:pt idx="0">
                  <c:v>749</c:v>
                </c:pt>
                <c:pt idx="1">
                  <c:v>920</c:v>
                </c:pt>
                <c:pt idx="2">
                  <c:v>1250</c:v>
                </c:pt>
                <c:pt idx="3">
                  <c:v>300</c:v>
                </c:pt>
              </c:numCache>
            </c:numRef>
          </c:val>
          <c:extLst>
            <c:ext xmlns:c16="http://schemas.microsoft.com/office/drawing/2014/chart" uri="{C3380CC4-5D6E-409C-BE32-E72D297353CC}">
              <c16:uniqueId val="{00000007-C831-4ADD-A92B-150A925E15F8}"/>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ofPieChart>
        <c:ofPieType val="pie"/>
        <c:varyColors val="1"/>
        <c:ser>
          <c:idx val="0"/>
          <c:order val="0"/>
          <c:tx>
            <c:strRef>
              <c:f>Diagrammi_naide!$J$11</c:f>
              <c:strCache>
                <c:ptCount val="1"/>
                <c:pt idx="0">
                  <c:v>Kogus</c:v>
                </c:pt>
              </c:strCache>
            </c:strRef>
          </c:tx>
          <c:dPt>
            <c:idx val="4"/>
            <c:bubble3D val="0"/>
            <c:spPr>
              <a:solidFill>
                <a:srgbClr val="92D050"/>
              </a:solidFill>
            </c:spPr>
            <c:extLst>
              <c:ext xmlns:c16="http://schemas.microsoft.com/office/drawing/2014/chart" uri="{C3380CC4-5D6E-409C-BE32-E72D297353CC}">
                <c16:uniqueId val="{00000001-1DDC-449A-A791-9CF22772CE90}"/>
              </c:ext>
            </c:extLst>
          </c:dPt>
          <c:dPt>
            <c:idx val="6"/>
            <c:bubble3D val="0"/>
            <c:spPr>
              <a:solidFill>
                <a:srgbClr val="FFFF00"/>
              </a:solidFill>
            </c:spPr>
            <c:extLst>
              <c:ext xmlns:c16="http://schemas.microsoft.com/office/drawing/2014/chart" uri="{C3380CC4-5D6E-409C-BE32-E72D297353CC}">
                <c16:uniqueId val="{00000003-1DDC-449A-A791-9CF22772CE90}"/>
              </c:ext>
            </c:extLst>
          </c:dPt>
          <c:dLbls>
            <c:spPr>
              <a:noFill/>
              <a:ln>
                <a:noFill/>
              </a:ln>
              <a:effectLst/>
            </c:spPr>
            <c:txPr>
              <a:bodyPr/>
              <a:lstStyle/>
              <a:p>
                <a:pPr>
                  <a:defRPr b="1">
                    <a:latin typeface="Arial" pitchFamily="34" charset="0"/>
                    <a:cs typeface="Arial" pitchFamily="34" charset="0"/>
                  </a:defRPr>
                </a:pPr>
                <a:endParaRPr lang="et-EE"/>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Diagrammi_naide!$I$12:$I$18</c:f>
              <c:strCache>
                <c:ptCount val="7"/>
                <c:pt idx="0">
                  <c:v>Suhkur</c:v>
                </c:pt>
                <c:pt idx="1">
                  <c:v>Riis</c:v>
                </c:pt>
                <c:pt idx="2">
                  <c:v>Jahu</c:v>
                </c:pt>
                <c:pt idx="3">
                  <c:v>Manna</c:v>
                </c:pt>
                <c:pt idx="4">
                  <c:v>Tatar</c:v>
                </c:pt>
                <c:pt idx="5">
                  <c:v>Pipar</c:v>
                </c:pt>
                <c:pt idx="6">
                  <c:v>Sool</c:v>
                </c:pt>
              </c:strCache>
            </c:strRef>
          </c:cat>
          <c:val>
            <c:numRef>
              <c:f>Diagrammi_naide!$J$12:$J$18</c:f>
              <c:numCache>
                <c:formatCode>General</c:formatCode>
                <c:ptCount val="7"/>
                <c:pt idx="0">
                  <c:v>270</c:v>
                </c:pt>
                <c:pt idx="1">
                  <c:v>240</c:v>
                </c:pt>
                <c:pt idx="2">
                  <c:v>200</c:v>
                </c:pt>
                <c:pt idx="3">
                  <c:v>190</c:v>
                </c:pt>
                <c:pt idx="4">
                  <c:v>40</c:v>
                </c:pt>
                <c:pt idx="5">
                  <c:v>30</c:v>
                </c:pt>
                <c:pt idx="6">
                  <c:v>30</c:v>
                </c:pt>
              </c:numCache>
            </c:numRef>
          </c:val>
          <c:extLst>
            <c:ext xmlns:c16="http://schemas.microsoft.com/office/drawing/2014/chart" uri="{C3380CC4-5D6E-409C-BE32-E72D297353CC}">
              <c16:uniqueId val="{00000004-1DDC-449A-A791-9CF22772CE90}"/>
            </c:ext>
          </c:extLst>
        </c:ser>
        <c:dLbls>
          <c:showLegendKey val="0"/>
          <c:showVal val="0"/>
          <c:showCatName val="1"/>
          <c:showSerName val="0"/>
          <c:showPercent val="1"/>
          <c:showBubbleSize val="0"/>
          <c:showLeaderLines val="1"/>
        </c:dLbls>
        <c:gapWidth val="100"/>
        <c:secondPieSize val="75"/>
        <c:serLines/>
      </c:ofPieChart>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Funktsioonid</a:t>
            </a:r>
            <a:r>
              <a:rPr lang="et-EE" baseline="0"/>
              <a:t> y ja z</a:t>
            </a:r>
            <a:endParaRPr lang="et-E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lotArea>
      <c:layout/>
      <c:scatterChart>
        <c:scatterStyle val="smoothMarker"/>
        <c:varyColors val="0"/>
        <c:ser>
          <c:idx val="0"/>
          <c:order val="0"/>
          <c:tx>
            <c:strRef>
              <c:f>Fun_tab1_N!$C$8</c:f>
              <c:strCache>
                <c:ptCount val="1"/>
                <c:pt idx="0">
                  <c:v>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Fun_tab1_N!$B$9:$B$29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xVal>
          <c:yVal>
            <c:numRef>
              <c:f>Fun_tab1_N!$C$9:$C$29</c:f>
              <c:numCache>
                <c:formatCode>0.00</c:formatCode>
                <c:ptCount val="21"/>
                <c:pt idx="0">
                  <c:v>-0.84193056732976213</c:v>
                </c:pt>
                <c:pt idx="1">
                  <c:v>0.41547004587670799</c:v>
                </c:pt>
                <c:pt idx="2">
                  <c:v>-0.54791447390446779</c:v>
                </c:pt>
                <c:pt idx="3">
                  <c:v>-2.6939731488413168</c:v>
                </c:pt>
                <c:pt idx="4">
                  <c:v>-2.2476863752900278</c:v>
                </c:pt>
                <c:pt idx="5">
                  <c:v>0.33917218044928332</c:v>
                </c:pt>
                <c:pt idx="6">
                  <c:v>1.1352037429618924</c:v>
                </c:pt>
                <c:pt idx="7">
                  <c:v>-0.1785699082496302</c:v>
                </c:pt>
                <c:pt idx="8">
                  <c:v>0</c:v>
                </c:pt>
                <c:pt idx="9">
                  <c:v>2.2153807878123861</c:v>
                </c:pt>
                <c:pt idx="10">
                  <c:v>2.7278922804770449</c:v>
                </c:pt>
                <c:pt idx="11">
                  <c:v>0.37153337462150493</c:v>
                </c:pt>
                <c:pt idx="12">
                  <c:v>-1.2267063999049068</c:v>
                </c:pt>
                <c:pt idx="13">
                  <c:v>-0.20349485940270645</c:v>
                </c:pt>
                <c:pt idx="14">
                  <c:v>0.34883362697318027</c:v>
                </c:pt>
                <c:pt idx="15">
                  <c:v>-1.5790218571903594</c:v>
                </c:pt>
                <c:pt idx="16">
                  <c:v>-2.9383717218207628</c:v>
                </c:pt>
                <c:pt idx="17">
                  <c:v>-1.157793334382389</c:v>
                </c:pt>
                <c:pt idx="18">
                  <c:v>1.0667877862439166</c:v>
                </c:pt>
                <c:pt idx="19">
                  <c:v>0.6323812050384181</c:v>
                </c:pt>
                <c:pt idx="20">
                  <c:v>-0.45661633974115162</c:v>
                </c:pt>
              </c:numCache>
            </c:numRef>
          </c:yVal>
          <c:smooth val="1"/>
          <c:extLst>
            <c:ext xmlns:c16="http://schemas.microsoft.com/office/drawing/2014/chart" uri="{C3380CC4-5D6E-409C-BE32-E72D297353CC}">
              <c16:uniqueId val="{00000000-CBC4-4873-B09A-2B67E5B40F8E}"/>
            </c:ext>
          </c:extLst>
        </c:ser>
        <c:ser>
          <c:idx val="1"/>
          <c:order val="1"/>
          <c:tx>
            <c:strRef>
              <c:f>Fun_tab1_N!$D$8</c:f>
              <c:strCache>
                <c:ptCount val="1"/>
                <c:pt idx="0">
                  <c:v>z</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Fun_tab1_N!$B$9:$B$29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xVal>
          <c:yVal>
            <c:numRef>
              <c:f>Fun_tab1_N!$D$9:$D$29</c:f>
              <c:numCache>
                <c:formatCode>0.00</c:formatCode>
                <c:ptCount val="21"/>
                <c:pt idx="0">
                  <c:v>-2.6641651016669874</c:v>
                </c:pt>
                <c:pt idx="1">
                  <c:v>-2.7386463011213418</c:v>
                </c:pt>
                <c:pt idx="2">
                  <c:v>4.9435230909333461</c:v>
                </c:pt>
                <c:pt idx="3">
                  <c:v>-1.3758166902579847</c:v>
                </c:pt>
                <c:pt idx="4">
                  <c:v>-3.7984395642941067</c:v>
                </c:pt>
                <c:pt idx="5">
                  <c:v>4.5372339072509806</c:v>
                </c:pt>
                <c:pt idx="6">
                  <c:v>2.2128489940253928E-2</c:v>
                </c:pt>
                <c:pt idx="7">
                  <c:v>-4.5556513094233848</c:v>
                </c:pt>
                <c:pt idx="8">
                  <c:v>3.7695112717165231</c:v>
                </c:pt>
                <c:pt idx="9">
                  <c:v>1.4183109273161312</c:v>
                </c:pt>
                <c:pt idx="10">
                  <c:v>-4.9499624830022269</c:v>
                </c:pt>
                <c:pt idx="11">
                  <c:v>2.7015115293406988</c:v>
                </c:pt>
                <c:pt idx="12">
                  <c:v>2.7015115293406988</c:v>
                </c:pt>
                <c:pt idx="13">
                  <c:v>-2.2704074859237844</c:v>
                </c:pt>
                <c:pt idx="14">
                  <c:v>-2.8767728239894153</c:v>
                </c:pt>
                <c:pt idx="15">
                  <c:v>-0.83824649459677758</c:v>
                </c:pt>
                <c:pt idx="16">
                  <c:v>1.9709597961563672</c:v>
                </c:pt>
                <c:pt idx="17">
                  <c:v>2.9680747398701453</c:v>
                </c:pt>
                <c:pt idx="18">
                  <c:v>1.2363554557252698</c:v>
                </c:pt>
                <c:pt idx="19">
                  <c:v>-1.6320633326681093</c:v>
                </c:pt>
                <c:pt idx="20">
                  <c:v>-2.9999706196521103</c:v>
                </c:pt>
              </c:numCache>
            </c:numRef>
          </c:yVal>
          <c:smooth val="1"/>
          <c:extLst>
            <c:ext xmlns:c16="http://schemas.microsoft.com/office/drawing/2014/chart" uri="{C3380CC4-5D6E-409C-BE32-E72D297353CC}">
              <c16:uniqueId val="{00000001-CBC4-4873-B09A-2B67E5B40F8E}"/>
            </c:ext>
          </c:extLst>
        </c:ser>
        <c:dLbls>
          <c:showLegendKey val="0"/>
          <c:showVal val="0"/>
          <c:showCatName val="0"/>
          <c:showSerName val="0"/>
          <c:showPercent val="0"/>
          <c:showBubbleSize val="0"/>
        </c:dLbls>
        <c:axId val="1021855855"/>
        <c:axId val="1410822623"/>
      </c:scatterChart>
      <c:valAx>
        <c:axId val="1021855855"/>
        <c:scaling>
          <c:orientation val="minMax"/>
          <c:max val="12"/>
          <c:min val="-1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410822623"/>
        <c:crosses val="autoZero"/>
        <c:crossBetween val="midCat"/>
        <c:majorUnit val="2"/>
      </c:valAx>
      <c:valAx>
        <c:axId val="14108226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2185585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t-EE"/>
              <a:t>Jalgpallurite</a:t>
            </a:r>
            <a:r>
              <a:rPr lang="et-EE" baseline="0"/>
              <a:t> jagunemine vanusegruppidesse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t-EE"/>
        </a:p>
      </c:txPr>
    </c:title>
    <c:autoTitleDeleted val="0"/>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Meeskond!$P$3</c:f>
              <c:strCache>
                <c:ptCount val="1"/>
                <c:pt idx="0">
                  <c:v>Mitu</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13FC-492E-9D00-860FCAC7B30E}"/>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13FC-492E-9D00-860FCAC7B30E}"/>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13FC-492E-9D00-860FCAC7B30E}"/>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13FC-492E-9D00-860FCAC7B30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t-EE"/>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Meeskond!$O$4:$O$7</c:f>
              <c:strCache>
                <c:ptCount val="4"/>
                <c:pt idx="0">
                  <c:v>20 ja nooremad</c:v>
                </c:pt>
                <c:pt idx="1">
                  <c:v>21-25</c:v>
                </c:pt>
                <c:pt idx="2">
                  <c:v>26-30</c:v>
                </c:pt>
                <c:pt idx="3">
                  <c:v>üle 30</c:v>
                </c:pt>
              </c:strCache>
            </c:strRef>
          </c:cat>
          <c:val>
            <c:numRef>
              <c:f>Meeskond!$P$4:$P$7</c:f>
              <c:numCache>
                <c:formatCode>General</c:formatCode>
                <c:ptCount val="4"/>
                <c:pt idx="0">
                  <c:v>0</c:v>
                </c:pt>
                <c:pt idx="1">
                  <c:v>3</c:v>
                </c:pt>
                <c:pt idx="2">
                  <c:v>9</c:v>
                </c:pt>
                <c:pt idx="3">
                  <c:v>11</c:v>
                </c:pt>
              </c:numCache>
            </c:numRef>
          </c:val>
          <c:extLst>
            <c:ext xmlns:c16="http://schemas.microsoft.com/office/drawing/2014/chart" uri="{C3380CC4-5D6E-409C-BE32-E72D297353CC}">
              <c16:uniqueId val="{00000000-A0C4-4012-941B-2E1AFADC7495}"/>
            </c:ext>
          </c:extLst>
        </c:ser>
        <c:dLbls>
          <c:dLblPos val="inEnd"/>
          <c:showLegendKey val="0"/>
          <c:showVal val="0"/>
          <c:showCatName val="0"/>
          <c:showSerName val="0"/>
          <c:showPercent val="1"/>
          <c:showBubbleSize val="0"/>
          <c:showLeaderLines val="1"/>
        </c:dLbls>
      </c:pie3D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t-E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t-E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[Diagrammid-Graafikud-Avaldised-Joonistamine Edgar_Muoni.xlsm]Meeskond!PivotTable-liigendtabel9</c:name>
    <c:fmtId val="8"/>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t-EE"/>
            </a:p>
          </c:txPr>
          <c:dLblPos val="inEnd"/>
          <c:showLegendKey val="0"/>
          <c:showVal val="1"/>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Meeskond!$J$28</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t-EE"/>
              </a:p>
            </c:txPr>
            <c:dLblPos val="inEnd"/>
            <c:showLegendKey val="0"/>
            <c:showVal val="1"/>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Meeskond!$I$29:$I$32</c:f>
              <c:strCache>
                <c:ptCount val="3"/>
                <c:pt idx="0">
                  <c:v>21-25</c:v>
                </c:pt>
                <c:pt idx="1">
                  <c:v>26-30</c:v>
                </c:pt>
                <c:pt idx="2">
                  <c:v>üle 30</c:v>
                </c:pt>
              </c:strCache>
            </c:strRef>
          </c:cat>
          <c:val>
            <c:numRef>
              <c:f>Meeskond!$J$29:$J$32</c:f>
              <c:numCache>
                <c:formatCode>General</c:formatCode>
                <c:ptCount val="3"/>
                <c:pt idx="0">
                  <c:v>3</c:v>
                </c:pt>
                <c:pt idx="1">
                  <c:v>9</c:v>
                </c:pt>
                <c:pt idx="2">
                  <c:v>11</c:v>
                </c:pt>
              </c:numCache>
            </c:numRef>
          </c:val>
          <c:extLst>
            <c:ext xmlns:c16="http://schemas.microsoft.com/office/drawing/2014/chart" uri="{C3380CC4-5D6E-409C-BE32-E72D297353CC}">
              <c16:uniqueId val="{00000000-3B30-4A60-A311-2BD9C0941E5A}"/>
            </c:ext>
          </c:extLst>
        </c:ser>
        <c:dLbls>
          <c:dLblPos val="in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drawing12.xml.rels><?xml version="1.0" encoding="UTF-8" standalone="yes"?>
<Relationships xmlns="http://schemas.openxmlformats.org/package/2006/relationships"><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1.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5</xdr:col>
      <xdr:colOff>600075</xdr:colOff>
      <xdr:row>1</xdr:row>
      <xdr:rowOff>9525</xdr:rowOff>
    </xdr:from>
    <xdr:to>
      <xdr:col>13</xdr:col>
      <xdr:colOff>323850</xdr:colOff>
      <xdr:row>17</xdr:row>
      <xdr:rowOff>95250</xdr:rowOff>
    </xdr:to>
    <xdr:grpSp>
      <xdr:nvGrpSpPr>
        <xdr:cNvPr id="2" name="Group 6">
          <a:extLst>
            <a:ext uri="{FF2B5EF4-FFF2-40B4-BE49-F238E27FC236}">
              <a16:creationId xmlns:a16="http://schemas.microsoft.com/office/drawing/2014/main" id="{00000000-0008-0000-0100-000002000000}"/>
            </a:ext>
          </a:extLst>
        </xdr:cNvPr>
        <xdr:cNvGrpSpPr>
          <a:grpSpLocks/>
        </xdr:cNvGrpSpPr>
      </xdr:nvGrpSpPr>
      <xdr:grpSpPr bwMode="auto">
        <a:xfrm>
          <a:off x="3328035" y="177165"/>
          <a:ext cx="4722495" cy="2767965"/>
          <a:chOff x="319" y="18"/>
          <a:chExt cx="483" cy="281"/>
        </a:xfrm>
      </xdr:grpSpPr>
      <xdr:sp macro="" textlink="">
        <xdr:nvSpPr>
          <xdr:cNvPr id="3" name="Text Box 1">
            <a:extLst>
              <a:ext uri="{FF2B5EF4-FFF2-40B4-BE49-F238E27FC236}">
                <a16:creationId xmlns:a16="http://schemas.microsoft.com/office/drawing/2014/main" id="{00000000-0008-0000-0100-000003000000}"/>
              </a:ext>
            </a:extLst>
          </xdr:cNvPr>
          <xdr:cNvSpPr txBox="1">
            <a:spLocks noChangeArrowheads="1"/>
          </xdr:cNvSpPr>
        </xdr:nvSpPr>
        <xdr:spPr bwMode="auto">
          <a:xfrm>
            <a:off x="319" y="18"/>
            <a:ext cx="483" cy="281"/>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0">
              <a:defRPr sz="1000"/>
            </a:pPr>
            <a:r>
              <a:rPr lang="et-EE" sz="1000" b="1" i="0" u="none" strike="noStrike" baseline="0">
                <a:solidFill>
                  <a:srgbClr val="000000"/>
                </a:solidFill>
                <a:latin typeface="Arial"/>
                <a:cs typeface="Arial"/>
              </a:rPr>
              <a:t>Ülesanne:</a:t>
            </a:r>
          </a:p>
          <a:p>
            <a:pPr algn="l" rtl="0">
              <a:defRPr sz="1000"/>
            </a:pPr>
            <a:r>
              <a:rPr lang="et-EE" sz="1000" b="0" i="0" u="none" strike="noStrike" baseline="0">
                <a:solidFill>
                  <a:srgbClr val="000000"/>
                </a:solidFill>
                <a:latin typeface="Arial"/>
                <a:cs typeface="Arial"/>
              </a:rPr>
              <a:t>1. Sisestada väärtused </a:t>
            </a:r>
            <a:r>
              <a:rPr lang="et-EE" sz="1000" b="1" i="0" u="none" strike="noStrike" baseline="0">
                <a:solidFill>
                  <a:srgbClr val="000000"/>
                </a:solidFill>
                <a:latin typeface="Arial"/>
                <a:cs typeface="Arial"/>
              </a:rPr>
              <a:t>a,b</a:t>
            </a:r>
            <a:r>
              <a:rPr lang="et-EE" sz="1000" b="0" i="0" u="none" strike="noStrike" baseline="0">
                <a:solidFill>
                  <a:srgbClr val="000000"/>
                </a:solidFill>
                <a:latin typeface="Arial"/>
                <a:cs typeface="Arial"/>
              </a:rPr>
              <a:t> ja </a:t>
            </a:r>
            <a:r>
              <a:rPr lang="et-EE" sz="1000" b="1" i="0" u="none" strike="noStrike" baseline="0">
                <a:solidFill>
                  <a:srgbClr val="000000"/>
                </a:solidFill>
                <a:latin typeface="Arial"/>
                <a:cs typeface="Arial"/>
              </a:rPr>
              <a:t>n</a:t>
            </a:r>
          </a:p>
          <a:p>
            <a:pPr algn="l" rtl="0">
              <a:defRPr sz="1000"/>
            </a:pPr>
            <a:r>
              <a:rPr lang="et-EE" sz="1000" b="0" i="0" u="none" strike="noStrike" baseline="0">
                <a:solidFill>
                  <a:srgbClr val="000000"/>
                </a:solidFill>
                <a:latin typeface="Arial"/>
                <a:cs typeface="Arial"/>
              </a:rPr>
              <a:t>2. Arvutada </a:t>
            </a:r>
            <a:r>
              <a:rPr lang="et-EE" sz="1000" b="1" i="0" u="none" strike="noStrike" baseline="0">
                <a:solidFill>
                  <a:srgbClr val="000000"/>
                </a:solidFill>
                <a:latin typeface="Arial"/>
                <a:cs typeface="Arial"/>
              </a:rPr>
              <a:t>h</a:t>
            </a:r>
            <a:r>
              <a:rPr lang="et-EE" sz="1000" b="0" i="0" u="none" strike="noStrike" baseline="0">
                <a:solidFill>
                  <a:srgbClr val="000000"/>
                </a:solidFill>
                <a:latin typeface="Arial"/>
                <a:cs typeface="Arial"/>
              </a:rPr>
              <a:t>:  </a:t>
            </a:r>
            <a:r>
              <a:rPr lang="et-EE" sz="1000" b="1" i="0" u="none" strike="noStrike" baseline="0">
                <a:solidFill>
                  <a:srgbClr val="000000"/>
                </a:solidFill>
                <a:latin typeface="Arial"/>
                <a:cs typeface="Arial"/>
              </a:rPr>
              <a:t>h=(b - a) / n</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3. Moodustada tabel järgmiste veergudega:</a:t>
            </a:r>
          </a:p>
          <a:p>
            <a:pPr algn="l" rtl="0">
              <a:defRPr sz="1000"/>
            </a:pPr>
            <a:r>
              <a:rPr lang="et-EE" sz="1000" b="0" i="0" u="none" strike="noStrike" baseline="0">
                <a:solidFill>
                  <a:srgbClr val="000000"/>
                </a:solidFill>
                <a:latin typeface="Arial"/>
                <a:cs typeface="Arial"/>
              </a:rPr>
              <a:t>a) argumendi väärtused x: </a:t>
            </a:r>
            <a:r>
              <a:rPr lang="et-EE" sz="1000" b="1" i="0" u="none" strike="noStrike" baseline="0">
                <a:solidFill>
                  <a:srgbClr val="000000"/>
                </a:solidFill>
                <a:latin typeface="Arial"/>
                <a:cs typeface="Arial"/>
              </a:rPr>
              <a:t>a</a:t>
            </a:r>
            <a:r>
              <a:rPr lang="et-EE" sz="1000" b="0" i="0" u="none" strike="noStrike" baseline="0">
                <a:solidFill>
                  <a:srgbClr val="000000"/>
                </a:solidFill>
                <a:latin typeface="Arial"/>
                <a:cs typeface="Arial"/>
              </a:rPr>
              <a:t>-st kuni </a:t>
            </a:r>
            <a:r>
              <a:rPr lang="et-EE" sz="1000" b="1" i="0" u="none" strike="noStrike" baseline="0">
                <a:solidFill>
                  <a:srgbClr val="000000"/>
                </a:solidFill>
                <a:latin typeface="Arial"/>
                <a:cs typeface="Arial"/>
              </a:rPr>
              <a:t>b</a:t>
            </a:r>
            <a:r>
              <a:rPr lang="et-EE" sz="1000" b="0" i="0" u="none" strike="noStrike" baseline="0">
                <a:solidFill>
                  <a:srgbClr val="000000"/>
                </a:solidFill>
                <a:latin typeface="Arial"/>
                <a:cs typeface="Arial"/>
              </a:rPr>
              <a:t>-ni, sammuga </a:t>
            </a:r>
            <a:r>
              <a:rPr lang="et-EE" sz="1000" b="1" i="0" u="none" strike="noStrike" baseline="0">
                <a:solidFill>
                  <a:srgbClr val="000000"/>
                </a:solidFill>
                <a:latin typeface="Arial"/>
                <a:cs typeface="Arial"/>
              </a:rPr>
              <a:t>h</a:t>
            </a:r>
            <a:r>
              <a:rPr lang="et-EE" sz="1000" b="0" i="0" u="none" strike="noStrike" baseline="0">
                <a:solidFill>
                  <a:srgbClr val="000000"/>
                </a:solidFill>
                <a:latin typeface="Arial"/>
                <a:cs typeface="Arial"/>
              </a:rPr>
              <a:t>, kui on antud jaotiste arv </a:t>
            </a:r>
            <a:r>
              <a:rPr lang="et-EE" sz="1000" b="1" i="0" u="none" strike="noStrike" baseline="0">
                <a:solidFill>
                  <a:srgbClr val="000000"/>
                </a:solidFill>
                <a:latin typeface="Arial"/>
                <a:cs typeface="Arial"/>
              </a:rPr>
              <a:t>n</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b) y-väärtused                                             c) z-väärtused   </a:t>
            </a:r>
          </a:p>
          <a:p>
            <a:pPr algn="l" rtl="0">
              <a:defRPr sz="1000"/>
            </a:pPr>
            <a:endParaRPr lang="et-EE" sz="1000" b="0" i="0" u="none" strike="noStrike" baseline="0">
              <a:solidFill>
                <a:srgbClr val="000000"/>
              </a:solidFill>
              <a:latin typeface="Arial"/>
              <a:cs typeface="Arial"/>
            </a:endParaRPr>
          </a:p>
          <a:p>
            <a:pPr algn="l" rtl="0">
              <a:defRPr sz="1000"/>
            </a:pPr>
            <a:endParaRPr lang="et-EE" sz="1000" b="0" i="0" u="none" strike="noStrike" baseline="0">
              <a:solidFill>
                <a:srgbClr val="000000"/>
              </a:solidFill>
              <a:latin typeface="Arial"/>
              <a:cs typeface="Arial"/>
            </a:endParaRPr>
          </a:p>
          <a:p>
            <a:pPr algn="l" rtl="0">
              <a:defRPr sz="1000"/>
            </a:pPr>
            <a:endParaRPr lang="et-EE" sz="1000" b="0" i="0" u="none" strike="noStrike" baseline="0">
              <a:solidFill>
                <a:srgbClr val="000000"/>
              </a:solidFill>
              <a:latin typeface="Arial"/>
              <a:cs typeface="Arial"/>
            </a:endParaRPr>
          </a:p>
          <a:p>
            <a:pPr algn="l" rtl="0">
              <a:defRPr sz="1000"/>
            </a:pPr>
            <a:endParaRPr lang="et-EE" sz="1000" b="0" i="0" u="none" strike="noStrike" baseline="0">
              <a:solidFill>
                <a:srgbClr val="000000"/>
              </a:solidFill>
              <a:latin typeface="Arial"/>
              <a:cs typeface="Arial"/>
            </a:endParaRPr>
          </a:p>
          <a:p>
            <a:pPr algn="l" rtl="0">
              <a:defRPr sz="1000"/>
            </a:pPr>
            <a:endParaRPr lang="et-EE" sz="1000" b="0" i="0" u="none" strike="noStrike" baseline="0">
              <a:solidFill>
                <a:srgbClr val="000000"/>
              </a:solidFill>
              <a:latin typeface="Arial"/>
              <a:cs typeface="Arial"/>
            </a:endParaRPr>
          </a:p>
          <a:p>
            <a:pPr algn="l" rtl="0">
              <a:defRPr sz="1000"/>
            </a:pP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4. Joonistada graafik (mõlemad funktsioonid). Kujundus vt </a:t>
            </a:r>
            <a:r>
              <a:rPr lang="et-EE" sz="1000" b="1" i="1" u="none" strike="noStrike" baseline="0">
                <a:solidFill>
                  <a:srgbClr val="000000"/>
                </a:solidFill>
                <a:latin typeface="Arial"/>
                <a:cs typeface="Arial"/>
              </a:rPr>
              <a:t>Graafiku1 näide</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Valige erinevad argumentide väärtused ja jälgige muudatusi</a:t>
            </a:r>
          </a:p>
          <a:p>
            <a:pPr algn="l" rtl="0">
              <a:defRPr sz="1000"/>
            </a:pPr>
            <a:endParaRPr lang="et-EE" sz="1000" b="0" i="0" u="none" strike="noStrike" baseline="0">
              <a:solidFill>
                <a:srgbClr val="000000"/>
              </a:solidFill>
              <a:latin typeface="Arial"/>
              <a:cs typeface="Arial"/>
            </a:endParaRPr>
          </a:p>
          <a:p>
            <a:pPr algn="l" rtl="0">
              <a:defRPr sz="1000"/>
            </a:pPr>
            <a:r>
              <a:rPr lang="et-EE" sz="1000" b="1" i="0" u="none" strike="noStrike" baseline="0">
                <a:solidFill>
                  <a:srgbClr val="000000"/>
                </a:solidFill>
                <a:latin typeface="Arial"/>
                <a:cs typeface="Arial"/>
              </a:rPr>
              <a:t>Kasutada nimed</a:t>
            </a:r>
          </a:p>
        </xdr:txBody>
      </xdr:sp>
    </xdr:grpSp>
    <xdr:clientData/>
  </xdr:twoCellAnchor>
  <mc:AlternateContent xmlns:mc="http://schemas.openxmlformats.org/markup-compatibility/2006">
    <mc:Choice xmlns:a14="http://schemas.microsoft.com/office/drawing/2010/main" Requires="a14">
      <xdr:twoCellAnchor>
        <xdr:from>
          <xdr:col>6</xdr:col>
          <xdr:colOff>323850</xdr:colOff>
          <xdr:row>7</xdr:row>
          <xdr:rowOff>85725</xdr:rowOff>
        </xdr:from>
        <xdr:to>
          <xdr:col>13</xdr:col>
          <xdr:colOff>9525</xdr:colOff>
          <xdr:row>11</xdr:row>
          <xdr:rowOff>114300</xdr:rowOff>
        </xdr:to>
        <xdr:grpSp>
          <xdr:nvGrpSpPr>
            <xdr:cNvPr id="1025" name="Group 1">
              <a:extLst>
                <a:ext uri="{FF2B5EF4-FFF2-40B4-BE49-F238E27FC236}">
                  <a16:creationId xmlns:a16="http://schemas.microsoft.com/office/drawing/2014/main" id="{00000000-0008-0000-0100-000001040000}"/>
                </a:ext>
              </a:extLst>
            </xdr:cNvPr>
            <xdr:cNvGrpSpPr>
              <a:grpSpLocks/>
            </xdr:cNvGrpSpPr>
          </xdr:nvGrpSpPr>
          <xdr:grpSpPr bwMode="auto">
            <a:xfrm>
              <a:off x="3676650" y="1259205"/>
              <a:ext cx="4059555" cy="699135"/>
              <a:chOff x="377" y="128"/>
              <a:chExt cx="415" cy="71"/>
            </a:xfrm>
          </xdr:grpSpPr>
          <xdr:sp macro="" textlink="">
            <xdr:nvSpPr>
              <xdr:cNvPr id="1026" name="Object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377" y="128"/>
                <a:ext cx="147" cy="48"/>
              </a:xfrm>
              <a:prstGeom prst="rect">
                <a:avLst/>
              </a:prstGeom>
              <a:solidFill>
                <a:srgbClr val="CCFFCC" mc:Ignorable="a14" a14:legacySpreadsheetColorIndex="42"/>
              </a:solidFill>
            </xdr:spPr>
          </xdr:sp>
          <xdr:sp macro="" textlink="">
            <xdr:nvSpPr>
              <xdr:cNvPr id="1027" name="Object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597" y="128"/>
                <a:ext cx="195" cy="71"/>
              </a:xfrm>
              <a:prstGeom prst="rect">
                <a:avLst/>
              </a:prstGeom>
              <a:solidFill>
                <a:srgbClr val="CCFFCC" mc:Ignorable="a14" a14:legacySpreadsheetColorIndex="42"/>
              </a:solidFill>
            </xdr:spPr>
          </xdr:sp>
        </xdr:grpSp>
        <xdr:clientData/>
      </xdr:twoCellAnchor>
    </mc:Choice>
    <mc:Fallback/>
  </mc:AlternateContent>
  <xdr:twoCellAnchor editAs="oneCell">
    <xdr:from>
      <xdr:col>6</xdr:col>
      <xdr:colOff>247650</xdr:colOff>
      <xdr:row>18</xdr:row>
      <xdr:rowOff>0</xdr:rowOff>
    </xdr:from>
    <xdr:to>
      <xdr:col>11</xdr:col>
      <xdr:colOff>117475</xdr:colOff>
      <xdr:row>23</xdr:row>
      <xdr:rowOff>41275</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14725" y="2914650"/>
          <a:ext cx="2917825" cy="850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11</xdr:col>
      <xdr:colOff>395286</xdr:colOff>
      <xdr:row>19</xdr:row>
      <xdr:rowOff>42862</xdr:rowOff>
    </xdr:from>
    <xdr:to>
      <xdr:col>20</xdr:col>
      <xdr:colOff>609599</xdr:colOff>
      <xdr:row>39</xdr:row>
      <xdr:rowOff>38100</xdr:rowOff>
    </xdr:to>
    <xdr:graphicFrame macro="">
      <xdr:nvGraphicFramePr>
        <xdr:cNvPr id="12" name="Diagramm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323850</xdr:colOff>
      <xdr:row>5</xdr:row>
      <xdr:rowOff>9525</xdr:rowOff>
    </xdr:from>
    <xdr:to>
      <xdr:col>14</xdr:col>
      <xdr:colOff>9525</xdr:colOff>
      <xdr:row>24</xdr:row>
      <xdr:rowOff>152400</xdr:rowOff>
    </xdr:to>
    <xdr:graphicFrame macro="">
      <xdr:nvGraphicFramePr>
        <xdr:cNvPr id="2" name="Chart 5">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85725</xdr:rowOff>
    </xdr:from>
    <xdr:to>
      <xdr:col>9</xdr:col>
      <xdr:colOff>247650</xdr:colOff>
      <xdr:row>17</xdr:row>
      <xdr:rowOff>76199</xdr:rowOff>
    </xdr:to>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200025" y="85725"/>
          <a:ext cx="5124450" cy="2743199"/>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0">
            <a:defRPr sz="1000"/>
          </a:pPr>
          <a:r>
            <a:rPr lang="et-EE" sz="1000" b="1" i="0" u="none" strike="noStrike" baseline="0">
              <a:solidFill>
                <a:srgbClr val="000000"/>
              </a:solidFill>
              <a:latin typeface="Arial"/>
              <a:cs typeface="Arial"/>
            </a:rPr>
            <a:t>Ülesanne:</a:t>
          </a:r>
        </a:p>
        <a:p>
          <a:pPr algn="l" rtl="0">
            <a:defRPr sz="1000"/>
          </a:pPr>
          <a:r>
            <a:rPr lang="et-EE" sz="1000" b="0" i="0" u="none" strike="noStrike" baseline="0">
              <a:solidFill>
                <a:srgbClr val="000000"/>
              </a:solidFill>
              <a:latin typeface="Arial"/>
              <a:cs typeface="Arial"/>
            </a:rPr>
            <a:t>1. Sisestada väärtused </a:t>
          </a:r>
          <a:r>
            <a:rPr lang="et-EE" sz="1000" b="1" i="0" u="none" strike="noStrike" baseline="0">
              <a:solidFill>
                <a:srgbClr val="000000"/>
              </a:solidFill>
              <a:latin typeface="Arial"/>
              <a:cs typeface="Arial"/>
            </a:rPr>
            <a:t>a,b</a:t>
          </a:r>
          <a:r>
            <a:rPr lang="et-EE" sz="1000" b="0" i="0" u="none" strike="noStrike" baseline="0">
              <a:solidFill>
                <a:srgbClr val="000000"/>
              </a:solidFill>
              <a:latin typeface="Arial"/>
              <a:cs typeface="Arial"/>
            </a:rPr>
            <a:t> ja </a:t>
          </a:r>
          <a:r>
            <a:rPr lang="et-EE" sz="1000" b="1" i="0" u="none" strike="noStrike" baseline="0">
              <a:solidFill>
                <a:srgbClr val="000000"/>
              </a:solidFill>
              <a:latin typeface="Arial"/>
              <a:cs typeface="Arial"/>
            </a:rPr>
            <a:t>n</a:t>
          </a:r>
        </a:p>
        <a:p>
          <a:pPr algn="l" rtl="0">
            <a:defRPr sz="1000"/>
          </a:pPr>
          <a:r>
            <a:rPr lang="et-EE" sz="1000" b="0" i="0" u="none" strike="noStrike" baseline="0">
              <a:solidFill>
                <a:srgbClr val="000000"/>
              </a:solidFill>
              <a:latin typeface="Arial"/>
              <a:cs typeface="Arial"/>
            </a:rPr>
            <a:t>2. Arvutada </a:t>
          </a:r>
          <a:r>
            <a:rPr lang="et-EE" sz="1000" b="1" i="0" u="none" strike="noStrike" baseline="0">
              <a:solidFill>
                <a:srgbClr val="000000"/>
              </a:solidFill>
              <a:latin typeface="Arial"/>
              <a:cs typeface="Arial"/>
            </a:rPr>
            <a:t>h</a:t>
          </a:r>
          <a:r>
            <a:rPr lang="et-EE" sz="1000" b="0" i="0" u="none" strike="noStrike" baseline="0">
              <a:solidFill>
                <a:srgbClr val="000000"/>
              </a:solidFill>
              <a:latin typeface="Arial"/>
              <a:cs typeface="Arial"/>
            </a:rPr>
            <a:t>:  </a:t>
          </a:r>
          <a:r>
            <a:rPr lang="et-EE" sz="1000" b="1" i="0" u="none" strike="noStrike" baseline="0">
              <a:solidFill>
                <a:srgbClr val="000000"/>
              </a:solidFill>
              <a:latin typeface="Arial"/>
              <a:cs typeface="Arial"/>
            </a:rPr>
            <a:t>h=(b - a) / n</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3. Moodustada tabel järgmiste veergudega.</a:t>
          </a:r>
        </a:p>
        <a:p>
          <a:pPr algn="l" rtl="0">
            <a:defRPr sz="1000"/>
          </a:pPr>
          <a:r>
            <a:rPr lang="et-EE" sz="1000" b="0" i="0" u="none" strike="noStrike" baseline="0">
              <a:solidFill>
                <a:srgbClr val="000000"/>
              </a:solidFill>
              <a:latin typeface="Arial"/>
              <a:cs typeface="Arial"/>
            </a:rPr>
            <a:t>    a) argumendi väärtused x: </a:t>
          </a:r>
          <a:r>
            <a:rPr lang="et-EE" sz="1000" b="1" i="0" u="none" strike="noStrike" baseline="0">
              <a:solidFill>
                <a:srgbClr val="000000"/>
              </a:solidFill>
              <a:latin typeface="Arial"/>
              <a:cs typeface="Arial"/>
            </a:rPr>
            <a:t>a</a:t>
          </a:r>
          <a:r>
            <a:rPr lang="et-EE" sz="1000" b="0" i="0" u="none" strike="noStrike" baseline="0">
              <a:solidFill>
                <a:srgbClr val="000000"/>
              </a:solidFill>
              <a:latin typeface="Arial"/>
              <a:cs typeface="Arial"/>
            </a:rPr>
            <a:t>-st kuni </a:t>
          </a:r>
          <a:r>
            <a:rPr lang="et-EE" sz="1000" b="1" i="0" u="none" strike="noStrike" baseline="0">
              <a:solidFill>
                <a:srgbClr val="000000"/>
              </a:solidFill>
              <a:latin typeface="Arial"/>
              <a:cs typeface="Arial"/>
            </a:rPr>
            <a:t>b</a:t>
          </a:r>
          <a:r>
            <a:rPr lang="et-EE" sz="1000" b="0" i="0" u="none" strike="noStrike" baseline="0">
              <a:solidFill>
                <a:srgbClr val="000000"/>
              </a:solidFill>
              <a:latin typeface="Arial"/>
              <a:cs typeface="Arial"/>
            </a:rPr>
            <a:t>-ni, sammuga </a:t>
          </a:r>
          <a:r>
            <a:rPr lang="et-EE" sz="1000" b="1" i="0" u="none" strike="noStrike" baseline="0">
              <a:solidFill>
                <a:srgbClr val="000000"/>
              </a:solidFill>
              <a:latin typeface="Arial"/>
              <a:cs typeface="Arial"/>
            </a:rPr>
            <a:t>h</a:t>
          </a:r>
          <a:r>
            <a:rPr lang="et-EE" sz="1000" b="0" i="0" u="none" strike="noStrike" baseline="0">
              <a:solidFill>
                <a:srgbClr val="000000"/>
              </a:solidFill>
              <a:latin typeface="Arial"/>
              <a:cs typeface="Arial"/>
            </a:rPr>
            <a:t>, kui on antud jaotiste arv </a:t>
          </a:r>
          <a:r>
            <a:rPr lang="et-EE" sz="1000" b="1" i="0" u="none" strike="noStrike" baseline="0">
              <a:solidFill>
                <a:srgbClr val="000000"/>
              </a:solidFill>
              <a:latin typeface="Arial"/>
              <a:cs typeface="Arial"/>
            </a:rPr>
            <a:t>n</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    b) y-väärtused: y=20ln(x)</a:t>
          </a:r>
        </a:p>
        <a:p>
          <a:pPr marL="0" marR="0" indent="0" algn="l" defTabSz="914400" rtl="0" eaLnBrk="1" fontAlgn="auto" latinLnBrk="0" hangingPunct="1">
            <a:lnSpc>
              <a:spcPct val="100000"/>
            </a:lnSpc>
            <a:spcBef>
              <a:spcPts val="0"/>
            </a:spcBef>
            <a:spcAft>
              <a:spcPts val="0"/>
            </a:spcAft>
            <a:buClrTx/>
            <a:buSzTx/>
            <a:buFontTx/>
            <a:buNone/>
            <a:tabLst/>
            <a:defRPr sz="1000"/>
          </a:pPr>
          <a:r>
            <a:rPr lang="et-EE" sz="1000" b="0" i="0" baseline="0">
              <a:latin typeface="+mn-lt"/>
              <a:ea typeface="+mn-ea"/>
              <a:cs typeface="+mn-cs"/>
            </a:rPr>
            <a:t>4</a:t>
          </a:r>
          <a:r>
            <a:rPr lang="et-EE" sz="1000" b="0" i="0" baseline="0">
              <a:latin typeface="Arial" pitchFamily="34" charset="0"/>
              <a:ea typeface="+mn-ea"/>
              <a:cs typeface="Arial" pitchFamily="34" charset="0"/>
            </a:rPr>
            <a:t>. Joonistada graafik. Kujundus (vt tööleht </a:t>
          </a:r>
          <a:r>
            <a:rPr lang="et-EE" sz="1000" b="1" i="1" baseline="0">
              <a:latin typeface="Arial" pitchFamily="34" charset="0"/>
              <a:ea typeface="+mn-ea"/>
              <a:cs typeface="Arial" pitchFamily="34" charset="0"/>
            </a:rPr>
            <a:t>Graafiku2 näide</a:t>
          </a:r>
          <a:r>
            <a:rPr lang="et-EE" sz="1000" b="0" i="0" baseline="0">
              <a:latin typeface="Arial" pitchFamily="34" charset="0"/>
              <a:ea typeface="+mn-ea"/>
              <a:cs typeface="Arial" pitchFamily="34" charset="0"/>
            </a:rPr>
            <a:t>)</a:t>
          </a:r>
        </a:p>
        <a:p>
          <a:pPr algn="l" rtl="0">
            <a:defRPr sz="1000"/>
          </a:pPr>
          <a:endParaRPr lang="et-EE" sz="1000" b="0" i="0" u="none" strike="noStrike" baseline="0">
            <a:solidFill>
              <a:srgbClr val="000000"/>
            </a:solidFill>
            <a:latin typeface="Arial"/>
            <a:cs typeface="Arial"/>
          </a:endParaRPr>
        </a:p>
        <a:p>
          <a:pPr rtl="0"/>
          <a:r>
            <a:rPr lang="et-EE" sz="1000" b="0" i="0" u="none" strike="noStrike" baseline="0">
              <a:solidFill>
                <a:srgbClr val="000000"/>
              </a:solidFill>
              <a:latin typeface="Arial"/>
              <a:cs typeface="Arial"/>
            </a:rPr>
            <a:t>5.</a:t>
          </a:r>
          <a:r>
            <a:rPr lang="et-EE" sz="1100" b="0" i="0" baseline="0">
              <a:latin typeface="+mn-lt"/>
              <a:ea typeface="+mn-ea"/>
              <a:cs typeface="+mn-cs"/>
            </a:rPr>
            <a:t>Sisestada väärtused </a:t>
          </a:r>
          <a:r>
            <a:rPr lang="et-EE" sz="1100" b="1" i="0" baseline="0">
              <a:latin typeface="+mn-lt"/>
              <a:ea typeface="+mn-ea"/>
              <a:cs typeface="+mn-cs"/>
            </a:rPr>
            <a:t>aa,bb</a:t>
          </a:r>
          <a:r>
            <a:rPr lang="et-EE" sz="1100" b="0" i="0" baseline="0">
              <a:latin typeface="+mn-lt"/>
              <a:ea typeface="+mn-ea"/>
              <a:cs typeface="+mn-cs"/>
            </a:rPr>
            <a:t> ja </a:t>
          </a:r>
          <a:r>
            <a:rPr lang="et-EE" sz="1100" b="1" i="0" baseline="0">
              <a:latin typeface="+mn-lt"/>
              <a:ea typeface="+mn-ea"/>
              <a:cs typeface="+mn-cs"/>
            </a:rPr>
            <a:t>nn</a:t>
          </a:r>
          <a:endParaRPr lang="et-EE" sz="1000"/>
        </a:p>
        <a:p>
          <a:pPr rtl="0" fontAlgn="base"/>
          <a:r>
            <a:rPr lang="et-EE" sz="1100" b="0" i="0" baseline="0">
              <a:latin typeface="+mn-lt"/>
              <a:ea typeface="+mn-ea"/>
              <a:cs typeface="+mn-cs"/>
            </a:rPr>
            <a:t>6. Arvutada </a:t>
          </a:r>
          <a:r>
            <a:rPr lang="et-EE" sz="1100" b="1" i="0" baseline="0">
              <a:latin typeface="+mn-lt"/>
              <a:ea typeface="+mn-ea"/>
              <a:cs typeface="+mn-cs"/>
            </a:rPr>
            <a:t>h</a:t>
          </a:r>
          <a:r>
            <a:rPr lang="et-EE" sz="1100" b="0" i="0" baseline="0">
              <a:latin typeface="+mn-lt"/>
              <a:ea typeface="+mn-ea"/>
              <a:cs typeface="+mn-cs"/>
            </a:rPr>
            <a:t>:  </a:t>
          </a:r>
          <a:r>
            <a:rPr lang="et-EE" sz="1100" b="1" i="0" baseline="0">
              <a:latin typeface="+mn-lt"/>
              <a:ea typeface="+mn-ea"/>
              <a:cs typeface="+mn-cs"/>
            </a:rPr>
            <a:t>hh=(bb - aa) / nn</a:t>
          </a:r>
          <a:endParaRPr lang="et-EE" sz="1100" b="0" i="0" baseline="0">
            <a:latin typeface="+mn-lt"/>
            <a:ea typeface="+mn-ea"/>
            <a:cs typeface="+mn-cs"/>
          </a:endParaRPr>
        </a:p>
        <a:p>
          <a:pPr rtl="0"/>
          <a:r>
            <a:rPr lang="et-EE" sz="1100" b="0" i="0" baseline="0">
              <a:latin typeface="+mn-lt"/>
              <a:ea typeface="+mn-ea"/>
              <a:cs typeface="+mn-cs"/>
            </a:rPr>
            <a:t>7. Moodustada tabel järgmiste veergudega.</a:t>
          </a:r>
          <a:endParaRPr lang="et-EE" sz="1000"/>
        </a:p>
        <a:p>
          <a:pPr rtl="0" fontAlgn="base"/>
          <a:r>
            <a:rPr lang="et-EE" sz="1100" b="0" i="0" baseline="0">
              <a:latin typeface="+mn-lt"/>
              <a:ea typeface="+mn-ea"/>
              <a:cs typeface="+mn-cs"/>
            </a:rPr>
            <a:t>    a) argumendi väärtused x: </a:t>
          </a:r>
          <a:r>
            <a:rPr lang="et-EE" sz="1100" b="1" i="0" baseline="0">
              <a:latin typeface="+mn-lt"/>
              <a:ea typeface="+mn-ea"/>
              <a:cs typeface="+mn-cs"/>
            </a:rPr>
            <a:t>aa</a:t>
          </a:r>
          <a:r>
            <a:rPr lang="et-EE" sz="1100" b="0" i="0" baseline="0">
              <a:latin typeface="+mn-lt"/>
              <a:ea typeface="+mn-ea"/>
              <a:cs typeface="+mn-cs"/>
            </a:rPr>
            <a:t>-st kuni </a:t>
          </a:r>
          <a:r>
            <a:rPr lang="et-EE" sz="1100" b="1" i="0" baseline="0">
              <a:latin typeface="+mn-lt"/>
              <a:ea typeface="+mn-ea"/>
              <a:cs typeface="+mn-cs"/>
            </a:rPr>
            <a:t>bb</a:t>
          </a:r>
          <a:r>
            <a:rPr lang="et-EE" sz="1100" b="0" i="0" baseline="0">
              <a:latin typeface="+mn-lt"/>
              <a:ea typeface="+mn-ea"/>
              <a:cs typeface="+mn-cs"/>
            </a:rPr>
            <a:t>-ni, sammuga </a:t>
          </a:r>
          <a:r>
            <a:rPr lang="et-EE" sz="1100" b="1" i="0" baseline="0">
              <a:latin typeface="+mn-lt"/>
              <a:ea typeface="+mn-ea"/>
              <a:cs typeface="+mn-cs"/>
            </a:rPr>
            <a:t>hh</a:t>
          </a:r>
          <a:r>
            <a:rPr lang="et-EE" sz="1100" b="0" i="0" baseline="0">
              <a:latin typeface="+mn-lt"/>
              <a:ea typeface="+mn-ea"/>
              <a:cs typeface="+mn-cs"/>
            </a:rPr>
            <a:t>, kui on antud jaotiste arv </a:t>
          </a:r>
          <a:r>
            <a:rPr lang="et-EE" sz="1100" b="1" i="0" baseline="0">
              <a:latin typeface="+mn-lt"/>
              <a:ea typeface="+mn-ea"/>
              <a:cs typeface="+mn-cs"/>
            </a:rPr>
            <a:t>nn</a:t>
          </a:r>
          <a:endParaRPr lang="et-EE" sz="1100" b="0" i="0" baseline="0">
            <a:latin typeface="+mn-lt"/>
            <a:ea typeface="+mn-ea"/>
            <a:cs typeface="+mn-cs"/>
          </a:endParaRPr>
        </a:p>
        <a:p>
          <a:r>
            <a:rPr lang="et-EE" sz="1100" b="0" i="0" baseline="0">
              <a:latin typeface="+mn-lt"/>
              <a:ea typeface="+mn-ea"/>
              <a:cs typeface="+mn-cs"/>
            </a:rPr>
            <a:t>    b) </a:t>
          </a:r>
          <a:r>
            <a:rPr lang="et-EE" sz="1000" b="0" i="0" u="none" strike="noStrike" baseline="0">
              <a:solidFill>
                <a:srgbClr val="000000"/>
              </a:solidFill>
              <a:latin typeface="Arial"/>
              <a:cs typeface="Arial"/>
            </a:rPr>
            <a:t>z-väärtused: z=3cos (2x)</a:t>
          </a:r>
        </a:p>
        <a:p>
          <a:pPr algn="l" rtl="0">
            <a:defRPr sz="1000"/>
          </a:pPr>
          <a:r>
            <a:rPr lang="et-EE" sz="1000" b="0" i="0" u="none" strike="noStrike" baseline="0">
              <a:solidFill>
                <a:srgbClr val="000000"/>
              </a:solidFill>
              <a:latin typeface="Arial"/>
              <a:cs typeface="Arial"/>
            </a:rPr>
            <a:t>8. Lisada selle tabeli andmed esimesele graafikule</a:t>
          </a:r>
          <a:r>
            <a:rPr lang="et-EE" sz="1000" b="0" i="0" u="none" strike="noStrike" baseline="0">
              <a:solidFill>
                <a:srgbClr val="000000"/>
              </a:solidFill>
              <a:latin typeface="Arial" pitchFamily="34" charset="0"/>
              <a:cs typeface="Arial" pitchFamily="34" charset="0"/>
            </a:rPr>
            <a:t>. </a:t>
          </a:r>
          <a:r>
            <a:rPr lang="et-EE" sz="1000" b="0" i="0" baseline="0">
              <a:latin typeface="Arial" pitchFamily="34" charset="0"/>
              <a:ea typeface="+mn-ea"/>
              <a:cs typeface="Arial" pitchFamily="34" charset="0"/>
            </a:rPr>
            <a:t>Kujundus (vt tööleht </a:t>
          </a:r>
          <a:r>
            <a:rPr lang="et-EE" sz="1000" b="1" i="1" baseline="0">
              <a:latin typeface="Arial" pitchFamily="34" charset="0"/>
              <a:ea typeface="+mn-ea"/>
              <a:cs typeface="Arial" pitchFamily="34" charset="0"/>
            </a:rPr>
            <a:t>Graafiku2 näide</a:t>
          </a:r>
          <a:r>
            <a:rPr lang="et-EE" sz="1000" b="0" i="0" baseline="0">
              <a:latin typeface="Arial" pitchFamily="34" charset="0"/>
              <a:ea typeface="+mn-ea"/>
              <a:cs typeface="Arial" pitchFamily="34" charset="0"/>
            </a:rPr>
            <a:t>)</a:t>
          </a:r>
          <a:endParaRPr lang="et-EE" sz="1000" b="0" i="0" u="none" strike="noStrike" baseline="0">
            <a:solidFill>
              <a:srgbClr val="000000"/>
            </a:solidFill>
            <a:latin typeface="Arial" pitchFamily="34" charset="0"/>
            <a:cs typeface="Arial" pitchFamily="34" charset="0"/>
          </a:endParaRPr>
        </a:p>
        <a:p>
          <a:pPr algn="l" rtl="0">
            <a:defRPr sz="1000"/>
          </a:pPr>
          <a:r>
            <a:rPr lang="et-EE" sz="1000" b="0" i="0" u="none" strike="noStrike" baseline="0">
              <a:solidFill>
                <a:srgbClr val="000000"/>
              </a:solidFill>
              <a:latin typeface="Arial"/>
              <a:cs typeface="Arial"/>
            </a:rPr>
            <a:t>Valige iga andmeseeria jaoks eraldi andmetelg.</a:t>
          </a:r>
        </a:p>
        <a:p>
          <a:pPr algn="l" rtl="0">
            <a:defRPr sz="1000"/>
          </a:pPr>
          <a:r>
            <a:rPr lang="et-EE" sz="1000" b="0" i="0" u="none" strike="noStrike" baseline="0">
              <a:solidFill>
                <a:srgbClr val="000000"/>
              </a:solidFill>
              <a:latin typeface="Arial" pitchFamily="34" charset="0"/>
              <a:cs typeface="Arial" pitchFamily="34" charset="0"/>
            </a:rPr>
            <a:t>Lisada </a:t>
          </a:r>
          <a:r>
            <a:rPr lang="et-EE" sz="1000">
              <a:latin typeface="Arial" pitchFamily="34" charset="0"/>
              <a:ea typeface="+mn-ea"/>
              <a:cs typeface="Arial" pitchFamily="34" charset="0"/>
            </a:rPr>
            <a:t>Polynomial trendijoon y-funktsiooni graafikule</a:t>
          </a:r>
          <a:endParaRPr lang="et-EE" sz="1000" b="0" i="0" u="none" strike="noStrike" baseline="0">
            <a:solidFill>
              <a:srgbClr val="000000"/>
            </a:solidFill>
            <a:latin typeface="Arial" pitchFamily="34" charset="0"/>
            <a:cs typeface="Arial" pitchFamily="34" charset="0"/>
          </a:endParaRPr>
        </a:p>
        <a:p>
          <a:pPr algn="l" rtl="0">
            <a:defRPr sz="1000"/>
          </a:pPr>
          <a:r>
            <a:rPr lang="et-EE" sz="1000" b="0" i="0" u="none" strike="noStrike" baseline="0">
              <a:solidFill>
                <a:srgbClr val="000000"/>
              </a:solidFill>
              <a:latin typeface="Arial"/>
              <a:cs typeface="Arial"/>
            </a:rPr>
            <a:t>Valige erinevad argumentide väärtused </a:t>
          </a:r>
        </a:p>
      </xdr:txBody>
    </xdr:sp>
    <xdr:clientData/>
  </xdr:twoCellAnchor>
  <xdr:twoCellAnchor>
    <xdr:from>
      <xdr:col>10</xdr:col>
      <xdr:colOff>347661</xdr:colOff>
      <xdr:row>19</xdr:row>
      <xdr:rowOff>33336</xdr:rowOff>
    </xdr:from>
    <xdr:to>
      <xdr:col>21</xdr:col>
      <xdr:colOff>161924</xdr:colOff>
      <xdr:row>46</xdr:row>
      <xdr:rowOff>123825</xdr:rowOff>
    </xdr:to>
    <xdr:graphicFrame macro="">
      <xdr:nvGraphicFramePr>
        <xdr:cNvPr id="9" name="Diagramm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290512</xdr:colOff>
      <xdr:row>0</xdr:row>
      <xdr:rowOff>80962</xdr:rowOff>
    </xdr:from>
    <xdr:to>
      <xdr:col>18</xdr:col>
      <xdr:colOff>595312</xdr:colOff>
      <xdr:row>17</xdr:row>
      <xdr:rowOff>71437</xdr:rowOff>
    </xdr:to>
    <xdr:graphicFrame macro="">
      <xdr:nvGraphicFramePr>
        <xdr:cNvPr id="10" name="Diagramm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314325</xdr:colOff>
      <xdr:row>4</xdr:row>
      <xdr:rowOff>9525</xdr:rowOff>
    </xdr:from>
    <xdr:to>
      <xdr:col>12</xdr:col>
      <xdr:colOff>314325</xdr:colOff>
      <xdr:row>18</xdr:row>
      <xdr:rowOff>85725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257174</xdr:colOff>
      <xdr:row>20</xdr:row>
      <xdr:rowOff>190499</xdr:rowOff>
    </xdr:from>
    <xdr:to>
      <xdr:col>12</xdr:col>
      <xdr:colOff>371475</xdr:colOff>
      <xdr:row>43</xdr:row>
      <xdr:rowOff>9524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180975</xdr:colOff>
      <xdr:row>0</xdr:row>
      <xdr:rowOff>114300</xdr:rowOff>
    </xdr:from>
    <xdr:to>
      <xdr:col>13</xdr:col>
      <xdr:colOff>476250</xdr:colOff>
      <xdr:row>9</xdr:row>
      <xdr:rowOff>123825</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4867275" y="114300"/>
          <a:ext cx="3952875" cy="1485900"/>
        </a:xfrm>
        <a:prstGeom prst="rect">
          <a:avLst/>
        </a:prstGeom>
        <a:solidFill>
          <a:srgbClr val="CCFFCC"/>
        </a:solidFill>
        <a:ln w="9525">
          <a:solidFill>
            <a:srgbClr val="000000"/>
          </a:solidFill>
          <a:miter lim="800000"/>
          <a:headEnd/>
          <a:tailEnd/>
        </a:ln>
      </xdr:spPr>
      <xdr:txBody>
        <a:bodyPr vertOverflow="clip" wrap="square" lIns="72000" tIns="72000" rIns="72000" bIns="72000" anchor="t" upright="1"/>
        <a:lstStyle/>
        <a:p>
          <a:pPr algn="l" rtl="0">
            <a:defRPr sz="1000"/>
          </a:pPr>
          <a:r>
            <a:rPr lang="et-EE" sz="1000" b="1" i="0" u="none" strike="noStrike" baseline="0">
              <a:solidFill>
                <a:srgbClr val="000000"/>
              </a:solidFill>
              <a:latin typeface="Arial"/>
              <a:cs typeface="Arial"/>
            </a:rPr>
            <a:t>Ülesanne:</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Joonistada antud risttabeli põhjal diagrammid:</a:t>
          </a:r>
        </a:p>
        <a:p>
          <a:pPr algn="l" rtl="0">
            <a:defRPr sz="1000"/>
          </a:pPr>
          <a:r>
            <a:rPr lang="et-EE" sz="1000" b="0" i="0" u="none" strike="noStrike" baseline="0">
              <a:solidFill>
                <a:srgbClr val="000000"/>
              </a:solidFill>
              <a:latin typeface="Arial"/>
              <a:cs typeface="Arial"/>
            </a:rPr>
            <a:t>a)tulpdiagramm andmeseeriad ridades</a:t>
          </a:r>
        </a:p>
        <a:p>
          <a:pPr algn="l" rtl="0">
            <a:defRPr sz="1000"/>
          </a:pPr>
          <a:r>
            <a:rPr lang="et-EE" sz="1000" b="0" i="0" u="none" strike="noStrike" baseline="0">
              <a:solidFill>
                <a:srgbClr val="000000"/>
              </a:solidFill>
              <a:latin typeface="Arial"/>
              <a:cs typeface="Arial"/>
            </a:rPr>
            <a:t>b) sektordiagramm, mis kajastab jahu müüki</a:t>
          </a:r>
        </a:p>
        <a:p>
          <a:pPr algn="l" rtl="0">
            <a:defRPr sz="1000"/>
          </a:pP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Diagrammid paigutada töölehele. Kujundus vt. </a:t>
          </a:r>
          <a:r>
            <a:rPr lang="et-EE" sz="1000" b="1" i="1" u="none" strike="noStrike" baseline="0">
              <a:solidFill>
                <a:srgbClr val="000000"/>
              </a:solidFill>
              <a:latin typeface="Arial"/>
              <a:cs typeface="Arial"/>
            </a:rPr>
            <a:t>Diagrammi näide</a:t>
          </a:r>
        </a:p>
        <a:p>
          <a:pPr algn="l" rtl="0">
            <a:defRPr sz="1000"/>
          </a:pPr>
          <a:endParaRPr lang="et-EE" sz="1000" b="1" i="1"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Sorteerida </a:t>
          </a:r>
          <a:r>
            <a:rPr lang="et-EE" sz="1000" b="0" i="0" baseline="0">
              <a:latin typeface="Arial" pitchFamily="34" charset="0"/>
              <a:ea typeface="+mn-ea"/>
              <a:cs typeface="Arial" pitchFamily="34" charset="0"/>
            </a:rPr>
            <a:t>andmed </a:t>
          </a:r>
          <a:r>
            <a:rPr lang="et-EE" sz="1000" b="0" i="0" u="none" strike="noStrike" baseline="0">
              <a:solidFill>
                <a:srgbClr val="000000"/>
              </a:solidFill>
              <a:latin typeface="Arial"/>
              <a:cs typeface="Arial"/>
            </a:rPr>
            <a:t>Tabelis 2 koguse järgi kahanevas järjekorras. </a:t>
          </a:r>
          <a:r>
            <a:rPr lang="et-EE" sz="1000">
              <a:latin typeface="Arial" pitchFamily="34" charset="0"/>
              <a:ea typeface="+mn-ea"/>
              <a:cs typeface="Arial" pitchFamily="34" charset="0"/>
            </a:rPr>
            <a:t>Luua ringdiagramm, diagrammi tüüp </a:t>
          </a:r>
          <a:r>
            <a:rPr lang="et-EE" sz="1000" b="1">
              <a:latin typeface="Arial" pitchFamily="34" charset="0"/>
              <a:ea typeface="+mn-ea"/>
              <a:cs typeface="Arial" pitchFamily="34" charset="0"/>
            </a:rPr>
            <a:t>Pie of Pie</a:t>
          </a:r>
          <a:r>
            <a:rPr lang="et-EE" sz="1000">
              <a:latin typeface="Arial" pitchFamily="34" charset="0"/>
              <a:ea typeface="+mn-ea"/>
              <a:cs typeface="Arial" pitchFamily="34" charset="0"/>
            </a:rPr>
            <a:t>.</a:t>
          </a:r>
          <a:r>
            <a:rPr lang="et-EE" sz="1000" b="0" i="0" u="none" strike="noStrike" baseline="0">
              <a:solidFill>
                <a:srgbClr val="000000"/>
              </a:solidFill>
              <a:latin typeface="Arial" pitchFamily="34" charset="0"/>
              <a:cs typeface="Arial" pitchFamily="34" charset="0"/>
            </a:rPr>
            <a:t>  </a:t>
          </a:r>
        </a:p>
      </xdr:txBody>
    </xdr:sp>
    <xdr:clientData/>
  </xdr:twoCellAnchor>
  <xdr:twoCellAnchor>
    <xdr:from>
      <xdr:col>1</xdr:col>
      <xdr:colOff>223837</xdr:colOff>
      <xdr:row>12</xdr:row>
      <xdr:rowOff>33337</xdr:rowOff>
    </xdr:from>
    <xdr:to>
      <xdr:col>7</xdr:col>
      <xdr:colOff>328612</xdr:colOff>
      <xdr:row>27</xdr:row>
      <xdr:rowOff>119062</xdr:rowOff>
    </xdr:to>
    <xdr:graphicFrame macro="">
      <xdr:nvGraphicFramePr>
        <xdr:cNvPr id="4" name="Diagramm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242887</xdr:colOff>
      <xdr:row>28</xdr:row>
      <xdr:rowOff>23812</xdr:rowOff>
    </xdr:from>
    <xdr:to>
      <xdr:col>7</xdr:col>
      <xdr:colOff>347662</xdr:colOff>
      <xdr:row>45</xdr:row>
      <xdr:rowOff>14287</xdr:rowOff>
    </xdr:to>
    <xdr:graphicFrame macro="">
      <xdr:nvGraphicFramePr>
        <xdr:cNvPr id="5" name="Diagramm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195262</xdr:colOff>
      <xdr:row>23</xdr:row>
      <xdr:rowOff>42862</xdr:rowOff>
    </xdr:from>
    <xdr:to>
      <xdr:col>16</xdr:col>
      <xdr:colOff>500062</xdr:colOff>
      <xdr:row>40</xdr:row>
      <xdr:rowOff>33337</xdr:rowOff>
    </xdr:to>
    <xdr:graphicFrame macro="">
      <xdr:nvGraphicFramePr>
        <xdr:cNvPr id="6" name="Diagramm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9</xdr:row>
      <xdr:rowOff>9525</xdr:rowOff>
    </xdr:from>
    <xdr:to>
      <xdr:col>7</xdr:col>
      <xdr:colOff>19051</xdr:colOff>
      <xdr:row>30</xdr:row>
      <xdr:rowOff>133350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31</xdr:row>
      <xdr:rowOff>9525</xdr:rowOff>
    </xdr:from>
    <xdr:to>
      <xdr:col>7</xdr:col>
      <xdr:colOff>9525</xdr:colOff>
      <xdr:row>48</xdr:row>
      <xdr:rowOff>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57150</xdr:colOff>
      <xdr:row>0</xdr:row>
      <xdr:rowOff>76200</xdr:rowOff>
    </xdr:from>
    <xdr:to>
      <xdr:col>13</xdr:col>
      <xdr:colOff>352425</xdr:colOff>
      <xdr:row>8</xdr:row>
      <xdr:rowOff>133350</xdr:rowOff>
    </xdr:to>
    <xdr:sp macro="" textlink="">
      <xdr:nvSpPr>
        <xdr:cNvPr id="6" name="Text Box 1">
          <a:extLst>
            <a:ext uri="{FF2B5EF4-FFF2-40B4-BE49-F238E27FC236}">
              <a16:creationId xmlns:a16="http://schemas.microsoft.com/office/drawing/2014/main" id="{00000000-0008-0000-0600-000006000000}"/>
            </a:ext>
          </a:extLst>
        </xdr:cNvPr>
        <xdr:cNvSpPr txBox="1">
          <a:spLocks noChangeArrowheads="1"/>
        </xdr:cNvSpPr>
      </xdr:nvSpPr>
      <xdr:spPr bwMode="auto">
        <a:xfrm>
          <a:off x="4743450" y="76200"/>
          <a:ext cx="3952875" cy="1485900"/>
        </a:xfrm>
        <a:prstGeom prst="rect">
          <a:avLst/>
        </a:prstGeom>
        <a:solidFill>
          <a:srgbClr val="CCFFCC"/>
        </a:solidFill>
        <a:ln w="9525">
          <a:solidFill>
            <a:srgbClr val="000000"/>
          </a:solidFill>
          <a:miter lim="800000"/>
          <a:headEnd/>
          <a:tailEnd/>
        </a:ln>
      </xdr:spPr>
      <xdr:txBody>
        <a:bodyPr vertOverflow="clip" wrap="square" lIns="72000" tIns="72000" rIns="72000" bIns="72000" anchor="t" upright="1"/>
        <a:lstStyle/>
        <a:p>
          <a:pPr algn="l" rtl="0">
            <a:defRPr sz="1000"/>
          </a:pPr>
          <a:r>
            <a:rPr lang="et-EE" sz="1000" b="1" i="0" u="none" strike="noStrike" baseline="0">
              <a:solidFill>
                <a:srgbClr val="000000"/>
              </a:solidFill>
              <a:latin typeface="Arial"/>
              <a:cs typeface="Arial"/>
            </a:rPr>
            <a:t>Ülesanne:</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Joonistada antud risttabeli põhjal diagrammid:</a:t>
          </a:r>
        </a:p>
        <a:p>
          <a:pPr algn="l" rtl="0">
            <a:defRPr sz="1000"/>
          </a:pPr>
          <a:r>
            <a:rPr lang="et-EE" sz="1000" b="0" i="0" u="none" strike="noStrike" baseline="0">
              <a:solidFill>
                <a:srgbClr val="000000"/>
              </a:solidFill>
              <a:latin typeface="Arial"/>
              <a:cs typeface="Arial"/>
            </a:rPr>
            <a:t>a)tulpdiagramm andmeseeriad ridades</a:t>
          </a:r>
        </a:p>
        <a:p>
          <a:pPr algn="l" rtl="0">
            <a:defRPr sz="1000"/>
          </a:pPr>
          <a:r>
            <a:rPr lang="et-EE" sz="1000" b="0" i="0" u="none" strike="noStrike" baseline="0">
              <a:solidFill>
                <a:srgbClr val="000000"/>
              </a:solidFill>
              <a:latin typeface="Arial"/>
              <a:cs typeface="Arial"/>
            </a:rPr>
            <a:t>b) sektordiagramm, mis kajastab jahu müüki</a:t>
          </a:r>
        </a:p>
        <a:p>
          <a:pPr algn="l" rtl="0">
            <a:defRPr sz="1000"/>
          </a:pP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Diagrammid paigutada töölehele. Kujundus vt. </a:t>
          </a:r>
          <a:r>
            <a:rPr lang="et-EE" sz="1000" b="1" i="1" u="none" strike="noStrike" baseline="0">
              <a:solidFill>
                <a:srgbClr val="000000"/>
              </a:solidFill>
              <a:latin typeface="Arial"/>
              <a:cs typeface="Arial"/>
            </a:rPr>
            <a:t>Diagrammi näide</a:t>
          </a:r>
        </a:p>
        <a:p>
          <a:pPr algn="l" rtl="0">
            <a:defRPr sz="1000"/>
          </a:pPr>
          <a:endParaRPr lang="et-EE" sz="1000" b="1" i="1"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Sorteerida </a:t>
          </a:r>
          <a:r>
            <a:rPr lang="et-EE" sz="1000" b="0" i="0" baseline="0">
              <a:latin typeface="Arial" pitchFamily="34" charset="0"/>
              <a:ea typeface="+mn-ea"/>
              <a:cs typeface="Arial" pitchFamily="34" charset="0"/>
            </a:rPr>
            <a:t>andmed </a:t>
          </a:r>
          <a:r>
            <a:rPr lang="et-EE" sz="1000" b="0" i="0" u="none" strike="noStrike" baseline="0">
              <a:solidFill>
                <a:srgbClr val="000000"/>
              </a:solidFill>
              <a:latin typeface="Arial"/>
              <a:cs typeface="Arial"/>
            </a:rPr>
            <a:t>Tabelis 2 koguse järgi kahanevas järjekorras. </a:t>
          </a:r>
          <a:r>
            <a:rPr lang="et-EE" sz="1000">
              <a:latin typeface="Arial" pitchFamily="34" charset="0"/>
              <a:ea typeface="+mn-ea"/>
              <a:cs typeface="Arial" pitchFamily="34" charset="0"/>
            </a:rPr>
            <a:t>Luua ringdiagramm, diagrammi tüüp </a:t>
          </a:r>
          <a:r>
            <a:rPr lang="et-EE" sz="1000" b="1">
              <a:latin typeface="Arial" pitchFamily="34" charset="0"/>
              <a:ea typeface="+mn-ea"/>
              <a:cs typeface="Arial" pitchFamily="34" charset="0"/>
            </a:rPr>
            <a:t>Pie of Pie</a:t>
          </a:r>
          <a:r>
            <a:rPr lang="et-EE" sz="1000">
              <a:latin typeface="Arial" pitchFamily="34" charset="0"/>
              <a:ea typeface="+mn-ea"/>
              <a:cs typeface="Arial" pitchFamily="34" charset="0"/>
            </a:rPr>
            <a:t>.</a:t>
          </a:r>
          <a:r>
            <a:rPr lang="et-EE" sz="1000" b="0" i="0" u="none" strike="noStrike" baseline="0">
              <a:solidFill>
                <a:srgbClr val="000000"/>
              </a:solidFill>
              <a:latin typeface="Arial" pitchFamily="34" charset="0"/>
              <a:cs typeface="Arial" pitchFamily="34" charset="0"/>
            </a:rPr>
            <a:t>  </a:t>
          </a:r>
        </a:p>
      </xdr:txBody>
    </xdr:sp>
    <xdr:clientData/>
  </xdr:twoCellAnchor>
  <xdr:twoCellAnchor>
    <xdr:from>
      <xdr:col>10</xdr:col>
      <xdr:colOff>114300</xdr:colOff>
      <xdr:row>10</xdr:row>
      <xdr:rowOff>0</xdr:rowOff>
    </xdr:from>
    <xdr:to>
      <xdr:col>17</xdr:col>
      <xdr:colOff>419100</xdr:colOff>
      <xdr:row>25</xdr:row>
      <xdr:rowOff>85725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895350</xdr:colOff>
      <xdr:row>0</xdr:row>
      <xdr:rowOff>66675</xdr:rowOff>
    </xdr:from>
    <xdr:to>
      <xdr:col>10</xdr:col>
      <xdr:colOff>215900</xdr:colOff>
      <xdr:row>3</xdr:row>
      <xdr:rowOff>63500</xdr:rowOff>
    </xdr:to>
    <xdr:sp macro="" textlink="">
      <xdr:nvSpPr>
        <xdr:cNvPr id="2" name="Object 1" hidden="1">
          <a:extLst>
            <a:ext uri="{63B3BB69-23CF-44E3-9099-C40C66FF867C}">
              <a14:compatExt xmlns:a14="http://schemas.microsoft.com/office/drawing/2010/main" spid="_x0000_s2049"/>
            </a:ext>
            <a:ext uri="{FF2B5EF4-FFF2-40B4-BE49-F238E27FC236}">
              <a16:creationId xmlns:a16="http://schemas.microsoft.com/office/drawing/2014/main" id="{00000000-0008-0000-0700-000002000000}"/>
            </a:ext>
          </a:extLst>
        </xdr:cNvPr>
        <xdr:cNvSpPr/>
      </xdr:nvSpPr>
      <xdr:spPr bwMode="auto">
        <a:xfrm>
          <a:off x="5781675" y="66675"/>
          <a:ext cx="2692400" cy="8445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6</xdr:col>
      <xdr:colOff>596900</xdr:colOff>
      <xdr:row>0</xdr:row>
      <xdr:rowOff>44450</xdr:rowOff>
    </xdr:from>
    <xdr:to>
      <xdr:col>10</xdr:col>
      <xdr:colOff>142875</xdr:colOff>
      <xdr:row>3</xdr:row>
      <xdr:rowOff>47625</xdr:rowOff>
    </xdr:to>
    <xdr:pic>
      <xdr:nvPicPr>
        <xdr:cNvPr id="3" name="Picture 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83225" y="44450"/>
          <a:ext cx="2917825" cy="850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oneCellAnchor>
    <xdr:from>
      <xdr:col>10</xdr:col>
      <xdr:colOff>257175</xdr:colOff>
      <xdr:row>0</xdr:row>
      <xdr:rowOff>141287</xdr:rowOff>
    </xdr:from>
    <xdr:ext cx="7353300" cy="2848317"/>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8515350" y="141287"/>
          <a:ext cx="7353300" cy="2848317"/>
        </a:xfrm>
        <a:prstGeom prst="rect">
          <a:avLst/>
        </a:prstGeom>
        <a:solidFill>
          <a:schemeClr val="lt1"/>
        </a:solidFill>
        <a:ln w="9525" cmpd="sng">
          <a:solidFill>
            <a:schemeClr val="bg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r>
            <a:rPr lang="et-EE" sz="1200"/>
            <a:t>Koostada rakendus kahe ühemuutuja funktsiooni y(x) ja z(x) graafikute tegemiseks etteantud vahemikus, valemites kasutades nimesid. Leida ka funktsiooni y minimaalne ja maksimaalne väärtus ja vastavad argumendi (x)</a:t>
          </a:r>
          <a:r>
            <a:rPr lang="et-EE" sz="1200" baseline="0"/>
            <a:t> väärtused</a:t>
          </a:r>
          <a:r>
            <a:rPr lang="et-EE" sz="1200"/>
            <a:t> ning funktsiooni z väärtuste aritmeetiline keskmine.</a:t>
          </a:r>
        </a:p>
        <a:p>
          <a:r>
            <a:rPr lang="et-EE" sz="1200"/>
            <a:t>Algandmed</a:t>
          </a:r>
        </a:p>
        <a:p>
          <a:r>
            <a:rPr lang="et-EE" sz="1200"/>
            <a:t>algus -  lõigu algus </a:t>
          </a:r>
        </a:p>
        <a:p>
          <a:r>
            <a:rPr lang="et-EE" sz="1200"/>
            <a:t> lõpp - lõigu lõpp  </a:t>
          </a:r>
        </a:p>
        <a:p>
          <a:r>
            <a:rPr lang="et-EE" sz="1200"/>
            <a:t> jaotisi - jaotiste arv </a:t>
          </a:r>
        </a:p>
        <a:p>
          <a:r>
            <a:rPr lang="et-EE" sz="1200"/>
            <a:t> samm = (lõpp - algus) / jaotisi</a:t>
          </a:r>
        </a:p>
        <a:p>
          <a:r>
            <a:rPr lang="et-EE" sz="1200"/>
            <a:t> p - arvutuseeskirja muutuse koht</a:t>
          </a:r>
        </a:p>
        <a:p>
          <a:endParaRPr lang="et-EE" sz="1200"/>
        </a:p>
        <a:p>
          <a:r>
            <a:rPr lang="et-EE" sz="1200"/>
            <a:t>Tulpa x teha valemid nii, et automaatselt tekiksid x-de väärtused vahemikus [algus; lõpp] etteantud sammuga:</a:t>
          </a:r>
        </a:p>
        <a:p>
          <a:r>
            <a:rPr lang="et-EE" sz="1200"/>
            <a:t>  x0 = algus, xi = xi-1 + samm</a:t>
          </a:r>
        </a:p>
        <a:p>
          <a:r>
            <a:rPr lang="et-EE" sz="1200"/>
            <a:t>Tulpadesse y ja z kirjutada valemid vastavate funktsioonide väärtuste leidmiseks iga x-i väärtuse korral.</a:t>
          </a:r>
        </a:p>
        <a:p>
          <a:r>
            <a:rPr lang="et-EE" sz="1200"/>
            <a:t>Graafiku tüübiks võtta XY (Scater)</a:t>
          </a:r>
        </a:p>
      </xdr:txBody>
    </xdr:sp>
    <xdr:clientData/>
  </xdr:oneCellAnchor>
  <xdr:twoCellAnchor>
    <xdr:from>
      <xdr:col>4</xdr:col>
      <xdr:colOff>347661</xdr:colOff>
      <xdr:row>14</xdr:row>
      <xdr:rowOff>185737</xdr:rowOff>
    </xdr:from>
    <xdr:to>
      <xdr:col>11</xdr:col>
      <xdr:colOff>190499</xdr:colOff>
      <xdr:row>29</xdr:row>
      <xdr:rowOff>104775</xdr:rowOff>
    </xdr:to>
    <xdr:graphicFrame macro="">
      <xdr:nvGraphicFramePr>
        <xdr:cNvPr id="5" name="Diagramm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14</xdr:col>
      <xdr:colOff>191718</xdr:colOff>
      <xdr:row>33</xdr:row>
      <xdr:rowOff>29430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0" y="190500"/>
          <a:ext cx="8726118" cy="612543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0</xdr:rowOff>
    </xdr:from>
    <xdr:ext cx="4695825" cy="5901588"/>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0" y="0"/>
          <a:ext cx="4695825" cy="5901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44000" rtlCol="0" anchor="t">
          <a:spAutoFit/>
        </a:bodyPr>
        <a:lstStyle/>
        <a:p>
          <a:r>
            <a:rPr lang="en-US" sz="1100"/>
            <a:t>Eesti jalgpallimeeskonna koosseis  http://jalgpall.ee/koondis/1/koosseis):</a:t>
          </a:r>
        </a:p>
        <a:p>
          <a:endParaRPr lang="en-US" sz="1100"/>
        </a:p>
        <a:p>
          <a:r>
            <a:rPr lang="en-US" sz="1100"/>
            <a:t>Nimi	Sünniaeg</a:t>
          </a:r>
        </a:p>
        <a:p>
          <a:r>
            <a:rPr lang="en-US" sz="1100"/>
            <a:t>Matvei Igonen	2.10.1996</a:t>
          </a:r>
        </a:p>
        <a:p>
          <a:r>
            <a:rPr lang="en-US" sz="1100"/>
            <a:t>Sergei Lepmets	5.04.1987</a:t>
          </a:r>
        </a:p>
        <a:p>
          <a:r>
            <a:rPr lang="en-US" sz="1100"/>
            <a:t>Mihkel Aksalu	7.11.1984</a:t>
          </a:r>
        </a:p>
        <a:p>
          <a:r>
            <a:rPr lang="en-US" sz="1100"/>
            <a:t>Karol Mets	16.05.1993</a:t>
          </a:r>
        </a:p>
        <a:p>
          <a:r>
            <a:rPr lang="en-US" sz="1100"/>
            <a:t>Joonas Tamm	2.02.1992</a:t>
          </a:r>
        </a:p>
        <a:p>
          <a:r>
            <a:rPr lang="en-US" sz="1100"/>
            <a:t>Madis Vihmann	5.10.1995</a:t>
          </a:r>
        </a:p>
        <a:p>
          <a:r>
            <a:rPr lang="en-US" sz="1100"/>
            <a:t>Ragnar Klavan	30.10.1985</a:t>
          </a:r>
        </a:p>
        <a:p>
          <a:r>
            <a:rPr lang="en-US" sz="1100"/>
            <a:t>Taijo Teniste	31.01.1988</a:t>
          </a:r>
        </a:p>
        <a:p>
          <a:r>
            <a:rPr lang="en-US" sz="1100"/>
            <a:t>Gert Kams	25.05.1985</a:t>
          </a:r>
        </a:p>
        <a:p>
          <a:r>
            <a:rPr lang="en-US" sz="1100"/>
            <a:t>Märten Kuusk	5.04.1996</a:t>
          </a:r>
        </a:p>
        <a:p>
          <a:r>
            <a:rPr lang="en-US" sz="1100"/>
            <a:t>Artur Pikk	5.03.1993</a:t>
          </a:r>
        </a:p>
        <a:p>
          <a:r>
            <a:rPr lang="en-US" sz="1100"/>
            <a:t>Ken Kallaste	31.08.1988</a:t>
          </a:r>
        </a:p>
        <a:p>
          <a:r>
            <a:rPr lang="en-US" sz="1100"/>
            <a:t>Aleksandr Dmitrijev	18.02.1982</a:t>
          </a:r>
        </a:p>
        <a:p>
          <a:r>
            <a:rPr lang="en-US" sz="1100"/>
            <a:t>Konstantin Vassiljev	16.08.1984</a:t>
          </a:r>
        </a:p>
        <a:p>
          <a:r>
            <a:rPr lang="en-US" sz="1100"/>
            <a:t>Vladislav Kreida	25.09.1999</a:t>
          </a:r>
        </a:p>
        <a:p>
          <a:r>
            <a:rPr lang="en-US" sz="1100"/>
            <a:t>Mattias Käit	29.06.1998</a:t>
          </a:r>
        </a:p>
        <a:p>
          <a:r>
            <a:rPr lang="en-US" sz="1100"/>
            <a:t>Mihkel Ainsalu	8.03.1996</a:t>
          </a:r>
        </a:p>
        <a:p>
          <a:r>
            <a:rPr lang="en-US" sz="1100"/>
            <a:t>Vlasiy Sinyavskiy	27.11.1996</a:t>
          </a:r>
        </a:p>
        <a:p>
          <a:r>
            <a:rPr lang="en-US" sz="1100"/>
            <a:t>Frank Liivak	7.07.1996</a:t>
          </a:r>
        </a:p>
        <a:p>
          <a:r>
            <a:rPr lang="en-US" sz="1100"/>
            <a:t>Henrik Ojamaa	20.05.1991</a:t>
          </a:r>
        </a:p>
        <a:p>
          <a:r>
            <a:rPr lang="en-US" sz="1100"/>
            <a:t>Erik Sorga	8.07.1999	</a:t>
          </a:r>
        </a:p>
        <a:p>
          <a:r>
            <a:rPr lang="en-US" sz="1100"/>
            <a:t>Sergei Zenjov	20.04.1989</a:t>
          </a:r>
        </a:p>
        <a:p>
          <a:r>
            <a:rPr lang="en-US" sz="1100"/>
            <a:t>Rauno Sappinen	23.01.1996</a:t>
          </a:r>
        </a:p>
        <a:p>
          <a:endParaRPr lang="en-US" sz="1100"/>
        </a:p>
        <a:p>
          <a:r>
            <a:rPr lang="en-US" sz="1100"/>
            <a:t>Teha sektordiagramm, milles oleks näha jalgpallurite jagunemine </a:t>
          </a:r>
        </a:p>
        <a:p>
          <a:r>
            <a:rPr lang="en-US" sz="1100"/>
            <a:t>vanusegruppidesse:</a:t>
          </a:r>
        </a:p>
        <a:p>
          <a:r>
            <a:rPr lang="en-US" sz="1100"/>
            <a:t>	20 ja nooremad</a:t>
          </a:r>
        </a:p>
        <a:p>
          <a:r>
            <a:rPr lang="en-US" sz="1100"/>
            <a:t>	21-25</a:t>
          </a:r>
        </a:p>
        <a:p>
          <a:r>
            <a:rPr lang="en-US" sz="1100"/>
            <a:t>	26-30</a:t>
          </a:r>
        </a:p>
        <a:p>
          <a:r>
            <a:rPr lang="en-US" sz="1100"/>
            <a:t>	üle 30</a:t>
          </a:r>
        </a:p>
      </xdr:txBody>
    </xdr:sp>
    <xdr:clientData/>
  </xdr:oneCellAnchor>
  <xdr:twoCellAnchor>
    <xdr:from>
      <xdr:col>13</xdr:col>
      <xdr:colOff>4762</xdr:colOff>
      <xdr:row>9</xdr:row>
      <xdr:rowOff>4762</xdr:rowOff>
    </xdr:from>
    <xdr:to>
      <xdr:col>19</xdr:col>
      <xdr:colOff>547687</xdr:colOff>
      <xdr:row>23</xdr:row>
      <xdr:rowOff>80962</xdr:rowOff>
    </xdr:to>
    <xdr:graphicFrame macro="">
      <xdr:nvGraphicFramePr>
        <xdr:cNvPr id="4" name="Diagramm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312420</xdr:colOff>
      <xdr:row>27</xdr:row>
      <xdr:rowOff>140970</xdr:rowOff>
    </xdr:from>
    <xdr:to>
      <xdr:col>16</xdr:col>
      <xdr:colOff>487680</xdr:colOff>
      <xdr:row>42</xdr:row>
      <xdr:rowOff>140970</xdr:rowOff>
    </xdr:to>
    <xdr:graphicFrame macro="">
      <xdr:nvGraphicFramePr>
        <xdr:cNvPr id="5" name="Chart 4">
          <a:extLst>
            <a:ext uri="{FF2B5EF4-FFF2-40B4-BE49-F238E27FC236}">
              <a16:creationId xmlns:a16="http://schemas.microsoft.com/office/drawing/2014/main" id="{AC401D3A-F121-4B40-8E94-06B37DCA49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0</xdr:rowOff>
    </xdr:from>
    <xdr:ext cx="4695825" cy="5901588"/>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0" y="0"/>
          <a:ext cx="4695825" cy="5901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44000" rtlCol="0" anchor="t">
          <a:spAutoFit/>
        </a:bodyPr>
        <a:lstStyle/>
        <a:p>
          <a:r>
            <a:rPr lang="en-US" sz="1100"/>
            <a:t>2. Eesti jalgpallimeeskonna koosseis  http://jalgpall.ee/koondis/1/koosseis):</a:t>
          </a:r>
        </a:p>
        <a:p>
          <a:endParaRPr lang="en-US" sz="1100"/>
        </a:p>
        <a:p>
          <a:r>
            <a:rPr lang="en-US" sz="1100"/>
            <a:t>Nimi	Sünniaeg</a:t>
          </a:r>
        </a:p>
        <a:p>
          <a:r>
            <a:rPr lang="en-US" sz="1100"/>
            <a:t>Matvei Igonen	2.10.1996</a:t>
          </a:r>
        </a:p>
        <a:p>
          <a:r>
            <a:rPr lang="en-US" sz="1100"/>
            <a:t>Sergei Lepmets	5.04.1987</a:t>
          </a:r>
        </a:p>
        <a:p>
          <a:r>
            <a:rPr lang="en-US" sz="1100"/>
            <a:t>Mihkel Aksalu	7.11.1984</a:t>
          </a:r>
        </a:p>
        <a:p>
          <a:r>
            <a:rPr lang="en-US" sz="1100"/>
            <a:t>Karol Mets	16.05.1993</a:t>
          </a:r>
        </a:p>
        <a:p>
          <a:r>
            <a:rPr lang="en-US" sz="1100"/>
            <a:t>Joonas Tamm	2.02.1992</a:t>
          </a:r>
        </a:p>
        <a:p>
          <a:r>
            <a:rPr lang="en-US" sz="1100"/>
            <a:t>Madis Vihmann	5.10.1995</a:t>
          </a:r>
        </a:p>
        <a:p>
          <a:r>
            <a:rPr lang="en-US" sz="1100"/>
            <a:t>Ragnar Klavan	30.10.1985</a:t>
          </a:r>
        </a:p>
        <a:p>
          <a:r>
            <a:rPr lang="en-US" sz="1100"/>
            <a:t>Taijo Teniste	31.01.1988</a:t>
          </a:r>
        </a:p>
        <a:p>
          <a:r>
            <a:rPr lang="en-US" sz="1100"/>
            <a:t>Gert Kams	25.05.1985</a:t>
          </a:r>
        </a:p>
        <a:p>
          <a:r>
            <a:rPr lang="en-US" sz="1100"/>
            <a:t>Märten Kuusk	5.04.1996</a:t>
          </a:r>
        </a:p>
        <a:p>
          <a:r>
            <a:rPr lang="en-US" sz="1100"/>
            <a:t>Artur Pikk	5.03.1993</a:t>
          </a:r>
        </a:p>
        <a:p>
          <a:r>
            <a:rPr lang="en-US" sz="1100"/>
            <a:t>Ken Kallaste	31.08.1988</a:t>
          </a:r>
        </a:p>
        <a:p>
          <a:r>
            <a:rPr lang="en-US" sz="1100"/>
            <a:t>Aleksandr Dmitrijev	18.02.1982</a:t>
          </a:r>
        </a:p>
        <a:p>
          <a:r>
            <a:rPr lang="en-US" sz="1100"/>
            <a:t>Konstantin Vassiljev	16.08.1984</a:t>
          </a:r>
        </a:p>
        <a:p>
          <a:r>
            <a:rPr lang="en-US" sz="1100"/>
            <a:t>Vladislav Kreida	25.09.1999</a:t>
          </a:r>
        </a:p>
        <a:p>
          <a:r>
            <a:rPr lang="en-US" sz="1100"/>
            <a:t>Mattias Käit	29.06.1998</a:t>
          </a:r>
        </a:p>
        <a:p>
          <a:r>
            <a:rPr lang="en-US" sz="1100"/>
            <a:t>Mihkel Ainsalu	8.03.1996</a:t>
          </a:r>
        </a:p>
        <a:p>
          <a:r>
            <a:rPr lang="en-US" sz="1100"/>
            <a:t>Vlasiy Sinyavskiy	27.11.1996</a:t>
          </a:r>
        </a:p>
        <a:p>
          <a:r>
            <a:rPr lang="en-US" sz="1100"/>
            <a:t>Frank Liivak	7.07.1996</a:t>
          </a:r>
        </a:p>
        <a:p>
          <a:r>
            <a:rPr lang="en-US" sz="1100"/>
            <a:t>Henrik Ojamaa	20.05.1991</a:t>
          </a:r>
        </a:p>
        <a:p>
          <a:r>
            <a:rPr lang="en-US" sz="1100"/>
            <a:t>Erik Sorga	8.07.1999	</a:t>
          </a:r>
        </a:p>
        <a:p>
          <a:r>
            <a:rPr lang="en-US" sz="1100"/>
            <a:t>Sergei Zenjov	20.04.1989</a:t>
          </a:r>
        </a:p>
        <a:p>
          <a:r>
            <a:rPr lang="en-US" sz="1100"/>
            <a:t>Rauno Sappinen	23.01.1996</a:t>
          </a:r>
        </a:p>
        <a:p>
          <a:endParaRPr lang="en-US" sz="1100"/>
        </a:p>
        <a:p>
          <a:r>
            <a:rPr lang="en-US" sz="1100"/>
            <a:t>Teha sektordiagramm, milles oleks näha jalgpallurite jagunemine </a:t>
          </a:r>
        </a:p>
        <a:p>
          <a:r>
            <a:rPr lang="en-US" sz="1100"/>
            <a:t>vanusegruppidesse:</a:t>
          </a:r>
        </a:p>
        <a:p>
          <a:r>
            <a:rPr lang="en-US" sz="1100"/>
            <a:t>	20 ja nooremad</a:t>
          </a:r>
        </a:p>
        <a:p>
          <a:r>
            <a:rPr lang="en-US" sz="1100"/>
            <a:t>	21-25</a:t>
          </a:r>
        </a:p>
        <a:p>
          <a:r>
            <a:rPr lang="en-US" sz="1100"/>
            <a:t>	26-30</a:t>
          </a:r>
        </a:p>
        <a:p>
          <a:r>
            <a:rPr lang="en-US" sz="1100"/>
            <a:t>	üle 30</a:t>
          </a:r>
        </a:p>
      </xdr:txBody>
    </xdr:sp>
    <xdr:clientData/>
  </xdr:oneCellAnchor>
  <xdr:twoCellAnchor editAs="oneCell">
    <xdr:from>
      <xdr:col>8</xdr:col>
      <xdr:colOff>180975</xdr:colOff>
      <xdr:row>0</xdr:row>
      <xdr:rowOff>95250</xdr:rowOff>
    </xdr:from>
    <xdr:to>
      <xdr:col>22</xdr:col>
      <xdr:colOff>401272</xdr:colOff>
      <xdr:row>41</xdr:row>
      <xdr:rowOff>182078</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5057775" y="95250"/>
          <a:ext cx="8754697" cy="789732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304800</xdr:colOff>
      <xdr:row>24</xdr:row>
      <xdr:rowOff>161925</xdr:rowOff>
    </xdr:from>
    <xdr:to>
      <xdr:col>13</xdr:col>
      <xdr:colOff>409575</xdr:colOff>
      <xdr:row>31</xdr:row>
      <xdr:rowOff>66675</xdr:rowOff>
    </xdr:to>
    <xdr:sp macro="" textlink="">
      <xdr:nvSpPr>
        <xdr:cNvPr id="2" name="Text Box 24">
          <a:extLst>
            <a:ext uri="{FF2B5EF4-FFF2-40B4-BE49-F238E27FC236}">
              <a16:creationId xmlns:a16="http://schemas.microsoft.com/office/drawing/2014/main" id="{00000000-0008-0000-0B00-000002000000}"/>
            </a:ext>
          </a:extLst>
        </xdr:cNvPr>
        <xdr:cNvSpPr txBox="1">
          <a:spLocks noChangeArrowheads="1"/>
        </xdr:cNvSpPr>
      </xdr:nvSpPr>
      <xdr:spPr bwMode="auto">
        <a:xfrm>
          <a:off x="6391275" y="4076700"/>
          <a:ext cx="3076575" cy="13906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t-EE" sz="1000" b="0" i="0" u="none" strike="noStrike" baseline="0">
              <a:solidFill>
                <a:srgbClr val="000000"/>
              </a:solidFill>
              <a:latin typeface="Arial"/>
              <a:cs typeface="Arial"/>
            </a:rPr>
            <a:t>Analüüsi tulemiseks on lause:</a:t>
          </a:r>
        </a:p>
        <a:p>
          <a:pPr algn="l" rtl="0">
            <a:defRPr sz="1000"/>
          </a:pPr>
          <a:r>
            <a:rPr lang="et-EE" sz="1000" b="0" i="0" u="none" strike="noStrike" baseline="0">
              <a:solidFill>
                <a:srgbClr val="000000"/>
              </a:solidFill>
              <a:latin typeface="Arial"/>
              <a:cs typeface="Arial"/>
            </a:rPr>
            <a:t>"</a:t>
          </a:r>
          <a:r>
            <a:rPr lang="et-EE" sz="1000" b="0" i="1" u="none" strike="noStrike" baseline="0">
              <a:solidFill>
                <a:srgbClr val="000000"/>
              </a:solidFill>
              <a:latin typeface="Arial"/>
              <a:cs typeface="Arial"/>
            </a:rPr>
            <a:t>liigsuur varieeruvus eelarvest, üle </a:t>
          </a:r>
          <a:r>
            <a:rPr lang="et-EE" sz="1000" b="1" i="1" u="none" strike="noStrike" baseline="0">
              <a:solidFill>
                <a:srgbClr val="000000"/>
              </a:solidFill>
              <a:latin typeface="Arial"/>
              <a:cs typeface="Arial"/>
            </a:rPr>
            <a:t>XX</a:t>
          </a:r>
          <a:r>
            <a:rPr lang="et-EE" sz="1000" b="0" i="1" u="none" strike="noStrike" baseline="0">
              <a:solidFill>
                <a:srgbClr val="000000"/>
              </a:solidFill>
              <a:latin typeface="Arial"/>
              <a:cs typeface="Arial"/>
            </a:rPr>
            <a:t> protsendi</a:t>
          </a:r>
          <a:r>
            <a:rPr lang="et-EE" sz="1000" b="0" i="0" u="none" strike="noStrike" baseline="0">
              <a:solidFill>
                <a:srgbClr val="000000"/>
              </a:solidFill>
              <a:latin typeface="Arial"/>
              <a:cs typeface="Arial"/>
            </a:rPr>
            <a:t>", kui        </a:t>
          </a:r>
          <a:r>
            <a:rPr lang="et-EE" sz="1000" b="1" i="0" u="none" strike="noStrike" baseline="0">
              <a:solidFill>
                <a:srgbClr val="000000"/>
              </a:solidFill>
              <a:latin typeface="Arial"/>
              <a:cs typeface="Arial"/>
            </a:rPr>
            <a:t>ABS(Eelarve - Tegelik) &gt; Eelarve * Variatsioon</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või lause</a:t>
          </a:r>
        </a:p>
        <a:p>
          <a:pPr algn="l" rtl="0">
            <a:defRPr sz="1000"/>
          </a:pPr>
          <a:r>
            <a:rPr lang="et-EE" sz="1000" b="0" i="0" u="none" strike="noStrike" baseline="0">
              <a:solidFill>
                <a:srgbClr val="000000"/>
              </a:solidFill>
              <a:latin typeface="Arial"/>
              <a:cs typeface="Arial"/>
            </a:rPr>
            <a:t>"</a:t>
          </a:r>
          <a:r>
            <a:rPr lang="et-EE" sz="1000" b="0" i="1" u="none" strike="noStrike" baseline="0">
              <a:solidFill>
                <a:srgbClr val="000000"/>
              </a:solidFill>
              <a:latin typeface="Arial"/>
              <a:cs typeface="Arial"/>
            </a:rPr>
            <a:t>Eelarvele piisavalt lähedal, korras</a:t>
          </a:r>
          <a:r>
            <a:rPr lang="et-EE" sz="1000" b="0" i="0" u="none" strike="noStrike" baseline="0">
              <a:solidFill>
                <a:srgbClr val="000000"/>
              </a:solidFill>
              <a:latin typeface="Arial"/>
              <a:cs typeface="Arial"/>
            </a:rPr>
            <a:t>" </a:t>
          </a:r>
          <a:r>
            <a:rPr lang="et-EE" sz="1000" b="1" i="0" u="none" strike="noStrike" baseline="0">
              <a:solidFill>
                <a:srgbClr val="000000"/>
              </a:solidFill>
              <a:latin typeface="Arial"/>
              <a:cs typeface="Arial"/>
            </a:rPr>
            <a:t>vastasel juhul</a:t>
          </a:r>
          <a:endParaRPr lang="et-EE" sz="1000" b="0" i="0" u="none" strike="noStrike" baseline="0">
            <a:solidFill>
              <a:srgbClr val="000000"/>
            </a:solidFill>
            <a:latin typeface="Arial"/>
            <a:cs typeface="Arial"/>
          </a:endParaRPr>
        </a:p>
        <a:p>
          <a:pPr algn="l" rtl="0">
            <a:defRPr sz="1000"/>
          </a:pPr>
          <a:r>
            <a:rPr lang="et-EE" sz="1000" b="1" i="0" u="none" strike="noStrike" baseline="0">
              <a:solidFill>
                <a:srgbClr val="000000"/>
              </a:solidFill>
              <a:latin typeface="Arial"/>
              <a:cs typeface="Arial"/>
            </a:rPr>
            <a:t>XX</a:t>
          </a:r>
          <a:r>
            <a:rPr lang="et-EE" sz="1000" b="0" i="0" u="none" strike="noStrike" baseline="0">
              <a:solidFill>
                <a:srgbClr val="000000"/>
              </a:solidFill>
              <a:latin typeface="Arial"/>
              <a:cs typeface="Arial"/>
            </a:rPr>
            <a:t> - antud variatsiooni protsent arvuga. Kui see väärtus muutub, siis see peab muutuma ka vastavas lauses</a:t>
          </a:r>
        </a:p>
      </xdr:txBody>
    </xdr:sp>
    <xdr:clientData/>
  </xdr:twoCellAnchor>
  <xdr:twoCellAnchor>
    <xdr:from>
      <xdr:col>8</xdr:col>
      <xdr:colOff>9525</xdr:colOff>
      <xdr:row>27</xdr:row>
      <xdr:rowOff>85725</xdr:rowOff>
    </xdr:from>
    <xdr:to>
      <xdr:col>8</xdr:col>
      <xdr:colOff>304800</xdr:colOff>
      <xdr:row>32</xdr:row>
      <xdr:rowOff>95250</xdr:rowOff>
    </xdr:to>
    <xdr:cxnSp macro="">
      <xdr:nvCxnSpPr>
        <xdr:cNvPr id="3" name="AutoShape 25">
          <a:extLst>
            <a:ext uri="{FF2B5EF4-FFF2-40B4-BE49-F238E27FC236}">
              <a16:creationId xmlns:a16="http://schemas.microsoft.com/office/drawing/2014/main" id="{00000000-0008-0000-0B00-000003000000}"/>
            </a:ext>
          </a:extLst>
        </xdr:cNvPr>
        <xdr:cNvCxnSpPr>
          <a:cxnSpLocks noChangeShapeType="1"/>
          <a:stCxn id="2" idx="1"/>
        </xdr:cNvCxnSpPr>
      </xdr:nvCxnSpPr>
      <xdr:spPr bwMode="auto">
        <a:xfrm flipH="1">
          <a:off x="6096000" y="4819650"/>
          <a:ext cx="295275" cy="1038225"/>
        </a:xfrm>
        <a:prstGeom prst="straightConnector1">
          <a:avLst/>
        </a:prstGeom>
        <a:noFill/>
        <a:ln w="9525">
          <a:solidFill>
            <a:srgbClr val="000000"/>
          </a:solidFill>
          <a:round/>
          <a:headEnd/>
          <a:tailEnd type="triangle" w="med" len="med"/>
        </a:ln>
      </xdr:spPr>
    </xdr:cxnSp>
    <xdr:clientData/>
  </xdr:twoCellAnchor>
  <xdr:twoCellAnchor editAs="oneCell">
    <xdr:from>
      <xdr:col>6</xdr:col>
      <xdr:colOff>38100</xdr:colOff>
      <xdr:row>23</xdr:row>
      <xdr:rowOff>95249</xdr:rowOff>
    </xdr:from>
    <xdr:to>
      <xdr:col>8</xdr:col>
      <xdr:colOff>47625</xdr:colOff>
      <xdr:row>30</xdr:row>
      <xdr:rowOff>9524</xdr:rowOff>
    </xdr:to>
    <xdr:pic>
      <xdr:nvPicPr>
        <xdr:cNvPr id="4" name="Picture 29">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67225" y="3848099"/>
          <a:ext cx="1666875" cy="1495425"/>
        </a:xfrm>
        <a:prstGeom prst="rect">
          <a:avLst/>
        </a:prstGeom>
        <a:solidFill>
          <a:schemeClr val="bg1"/>
        </a:solidFill>
        <a:ln w="9525">
          <a:noFill/>
          <a:miter lim="800000"/>
          <a:headEnd/>
          <a:tailEnd/>
        </a:ln>
      </xdr:spPr>
    </xdr:pic>
    <xdr:clientData/>
  </xdr:twoCellAnchor>
  <xdr:twoCellAnchor>
    <xdr:from>
      <xdr:col>2</xdr:col>
      <xdr:colOff>285750</xdr:colOff>
      <xdr:row>38</xdr:row>
      <xdr:rowOff>114300</xdr:rowOff>
    </xdr:from>
    <xdr:to>
      <xdr:col>7</xdr:col>
      <xdr:colOff>228600</xdr:colOff>
      <xdr:row>55</xdr:row>
      <xdr:rowOff>0</xdr:rowOff>
    </xdr:to>
    <xdr:pic>
      <xdr:nvPicPr>
        <xdr:cNvPr id="5" name="Picture 32">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33475" y="6877050"/>
          <a:ext cx="4352925" cy="26384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9525</xdr:rowOff>
    </xdr:from>
    <xdr:ext cx="4972050" cy="3296764"/>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0" y="9525"/>
          <a:ext cx="4972050" cy="32967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144000" rIns="144000" bIns="144000" rtlCol="0" anchor="t">
          <a:spAutoFit/>
        </a:bodyPr>
        <a:lstStyle/>
        <a:p>
          <a:r>
            <a:rPr lang="en-US" sz="1200"/>
            <a:t>Koostada </a:t>
          </a:r>
          <a:r>
            <a:rPr lang="et-EE" sz="1200"/>
            <a:t>rakendus</a:t>
          </a:r>
          <a:r>
            <a:rPr lang="et-EE" sz="1200" baseline="0"/>
            <a:t> </a:t>
          </a:r>
          <a:r>
            <a:rPr lang="en-US" sz="1200"/>
            <a:t>arve andmete sisestamiseks ja maksumuse</a:t>
          </a:r>
          <a:r>
            <a:rPr lang="et-EE" sz="1200"/>
            <a:t> </a:t>
          </a:r>
          <a:r>
            <a:rPr lang="en-US" sz="1200"/>
            <a:t>arvutamiseks, kasutades kaupade andmeid töölehel Kaubad.</a:t>
          </a:r>
          <a:endParaRPr lang="et-EE" sz="1200"/>
        </a:p>
        <a:p>
          <a:r>
            <a:rPr lang="et-EE" sz="1200"/>
            <a:t>Tabel määratleda tabeliobjektina.</a:t>
          </a:r>
        </a:p>
        <a:p>
          <a:endParaRPr lang="en-US" sz="1200"/>
        </a:p>
        <a:p>
          <a:r>
            <a:rPr lang="en-US" sz="1200"/>
            <a:t>Tabeli veerud:</a:t>
          </a:r>
        </a:p>
        <a:p>
          <a:r>
            <a:rPr lang="en-US" sz="1200"/>
            <a:t>- kauba</a:t>
          </a:r>
          <a:r>
            <a:rPr lang="et-EE" sz="1200"/>
            <a:t>kood</a:t>
          </a:r>
          <a:r>
            <a:rPr lang="en-US" sz="1200"/>
            <a:t> (sisestatakse, valideerimine loeteluga)</a:t>
          </a:r>
        </a:p>
        <a:p>
          <a:r>
            <a:rPr lang="en-US" sz="1200"/>
            <a:t>- kauba nimetus (leida otsingufunktsiooniga kaupade tabelist)</a:t>
          </a:r>
        </a:p>
        <a:p>
          <a:r>
            <a:rPr lang="en-US" sz="1200"/>
            <a:t>- ostetud kogus (sisestatakse, arv)			</a:t>
          </a:r>
        </a:p>
        <a:p>
          <a:r>
            <a:rPr lang="en-US" sz="1200"/>
            <a:t>- hind käibemaksuga (leida lehelt Kaubad otsingufunktsioonidega)	</a:t>
          </a:r>
        </a:p>
        <a:p>
          <a:r>
            <a:rPr lang="en-US" sz="1200"/>
            <a:t>- maksumus (arvutada kogusest ja hinnast)				</a:t>
          </a:r>
        </a:p>
        <a:p>
          <a:r>
            <a:rPr lang="en-US" sz="1200"/>
            <a:t>Arvutada arve ridade summa ja käibemaks.</a:t>
          </a:r>
        </a:p>
        <a:p>
          <a:r>
            <a:rPr lang="et-EE" sz="1200"/>
            <a:t>Lisada tabelile koondrida (Total row vt Tabeliobj. menüüst) ja häälestada see sobivalt.	</a:t>
          </a:r>
        </a:p>
        <a:p>
          <a:r>
            <a:rPr lang="en-US" sz="1200"/>
            <a:t>Leida arve ridade keskmine maksumus ja mitmel arvel oleval kaubal on keskmisest suurem maksumus.</a:t>
          </a:r>
        </a:p>
      </xdr:txBody>
    </xdr:sp>
    <xdr:clientData/>
  </xdr:oneCellAnchor>
  <xdr:twoCellAnchor editAs="oneCell">
    <xdr:from>
      <xdr:col>0</xdr:col>
      <xdr:colOff>66675</xdr:colOff>
      <xdr:row>18</xdr:row>
      <xdr:rowOff>142875</xdr:rowOff>
    </xdr:from>
    <xdr:to>
      <xdr:col>14</xdr:col>
      <xdr:colOff>477508</xdr:colOff>
      <xdr:row>37</xdr:row>
      <xdr:rowOff>114801</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stretch>
          <a:fillRect/>
        </a:stretch>
      </xdr:blipFill>
      <xdr:spPr>
        <a:xfrm>
          <a:off x="66675" y="3571875"/>
          <a:ext cx="9011908" cy="359142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8</xdr:row>
      <xdr:rowOff>142875</xdr:rowOff>
    </xdr:from>
    <xdr:to>
      <xdr:col>17</xdr:col>
      <xdr:colOff>0</xdr:colOff>
      <xdr:row>11</xdr:row>
      <xdr:rowOff>161925</xdr:rowOff>
    </xdr:to>
    <xdr:sp macro="" textlink="">
      <xdr:nvSpPr>
        <xdr:cNvPr id="2" name="Freeform 1">
          <a:extLst>
            <a:ext uri="{FF2B5EF4-FFF2-40B4-BE49-F238E27FC236}">
              <a16:creationId xmlns:a16="http://schemas.microsoft.com/office/drawing/2014/main" id="{00000000-0008-0000-1000-000002000000}"/>
            </a:ext>
          </a:extLst>
        </xdr:cNvPr>
        <xdr:cNvSpPr>
          <a:spLocks/>
        </xdr:cNvSpPr>
      </xdr:nvSpPr>
      <xdr:spPr bwMode="auto">
        <a:xfrm>
          <a:off x="190500" y="1685925"/>
          <a:ext cx="2886075" cy="561975"/>
        </a:xfrm>
        <a:custGeom>
          <a:avLst/>
          <a:gdLst/>
          <a:ahLst/>
          <a:cxnLst>
            <a:cxn ang="0">
              <a:pos x="0" y="58"/>
            </a:cxn>
            <a:cxn ang="0">
              <a:pos x="57" y="1"/>
            </a:cxn>
            <a:cxn ang="0">
              <a:pos x="114" y="58"/>
            </a:cxn>
            <a:cxn ang="0">
              <a:pos x="171" y="0"/>
            </a:cxn>
            <a:cxn ang="0">
              <a:pos x="228" y="58"/>
            </a:cxn>
            <a:cxn ang="0">
              <a:pos x="282" y="2"/>
            </a:cxn>
          </a:cxnLst>
          <a:rect l="0" t="0" r="r" b="b"/>
          <a:pathLst>
            <a:path w="282" h="58">
              <a:moveTo>
                <a:pt x="0" y="58"/>
              </a:moveTo>
              <a:cubicBezTo>
                <a:pt x="19" y="29"/>
                <a:pt x="38" y="1"/>
                <a:pt x="57" y="1"/>
              </a:cubicBezTo>
              <a:cubicBezTo>
                <a:pt x="76" y="1"/>
                <a:pt x="95" y="58"/>
                <a:pt x="114" y="58"/>
              </a:cubicBezTo>
              <a:lnTo>
                <a:pt x="171" y="0"/>
              </a:lnTo>
              <a:lnTo>
                <a:pt x="228" y="58"/>
              </a:lnTo>
              <a:cubicBezTo>
                <a:pt x="246" y="58"/>
                <a:pt x="264" y="30"/>
                <a:pt x="282" y="2"/>
              </a:cubicBezTo>
            </a:path>
          </a:pathLst>
        </a:custGeom>
        <a:solidFill>
          <a:srgbClr val="00FFFF"/>
        </a:solidFill>
        <a:ln w="19050" cmpd="sng">
          <a:solidFill>
            <a:srgbClr val="0000FF"/>
          </a:solidFill>
          <a:round/>
          <a:headEnd/>
          <a:tailEnd/>
        </a:ln>
      </xdr:spPr>
    </xdr:sp>
    <xdr:clientData/>
  </xdr:twoCellAnchor>
  <xdr:twoCellAnchor>
    <xdr:from>
      <xdr:col>1</xdr:col>
      <xdr:colOff>19050</xdr:colOff>
      <xdr:row>5</xdr:row>
      <xdr:rowOff>0</xdr:rowOff>
    </xdr:from>
    <xdr:to>
      <xdr:col>17</xdr:col>
      <xdr:colOff>66675</xdr:colOff>
      <xdr:row>7</xdr:row>
      <xdr:rowOff>19050</xdr:rowOff>
    </xdr:to>
    <xdr:sp macro="" textlink="">
      <xdr:nvSpPr>
        <xdr:cNvPr id="3" name="Freeform 2">
          <a:extLst>
            <a:ext uri="{FF2B5EF4-FFF2-40B4-BE49-F238E27FC236}">
              <a16:creationId xmlns:a16="http://schemas.microsoft.com/office/drawing/2014/main" id="{00000000-0008-0000-1000-000003000000}"/>
            </a:ext>
          </a:extLst>
        </xdr:cNvPr>
        <xdr:cNvSpPr>
          <a:spLocks/>
        </xdr:cNvSpPr>
      </xdr:nvSpPr>
      <xdr:spPr bwMode="auto">
        <a:xfrm>
          <a:off x="200025" y="1000125"/>
          <a:ext cx="2943225" cy="381000"/>
        </a:xfrm>
        <a:custGeom>
          <a:avLst/>
          <a:gdLst/>
          <a:ahLst/>
          <a:cxnLst>
            <a:cxn ang="0">
              <a:pos x="0" y="22"/>
            </a:cxn>
            <a:cxn ang="0">
              <a:pos x="73" y="3"/>
            </a:cxn>
            <a:cxn ang="0">
              <a:pos x="149" y="41"/>
            </a:cxn>
            <a:cxn ang="0">
              <a:pos x="216" y="3"/>
            </a:cxn>
            <a:cxn ang="0">
              <a:pos x="297" y="41"/>
            </a:cxn>
          </a:cxnLst>
          <a:rect l="0" t="0" r="r" b="b"/>
          <a:pathLst>
            <a:path w="297" h="41">
              <a:moveTo>
                <a:pt x="0" y="22"/>
              </a:moveTo>
              <a:cubicBezTo>
                <a:pt x="24" y="11"/>
                <a:pt x="48" y="0"/>
                <a:pt x="73" y="3"/>
              </a:cubicBezTo>
              <a:cubicBezTo>
                <a:pt x="98" y="6"/>
                <a:pt x="125" y="41"/>
                <a:pt x="149" y="41"/>
              </a:cubicBezTo>
              <a:cubicBezTo>
                <a:pt x="173" y="41"/>
                <a:pt x="191" y="3"/>
                <a:pt x="216" y="3"/>
              </a:cubicBezTo>
              <a:cubicBezTo>
                <a:pt x="241" y="3"/>
                <a:pt x="284" y="35"/>
                <a:pt x="297" y="41"/>
              </a:cubicBezTo>
            </a:path>
          </a:pathLst>
        </a:custGeom>
        <a:noFill/>
        <a:ln w="19050" cmpd="sng">
          <a:solidFill>
            <a:srgbClr val="FF0000"/>
          </a:solidFill>
          <a:round/>
          <a:headEnd/>
          <a:tailEnd/>
        </a:ln>
      </xdr:spPr>
    </xdr:sp>
    <xdr:clientData/>
  </xdr:twoCellAnchor>
  <xdr:twoCellAnchor editAs="oneCell">
    <xdr:from>
      <xdr:col>1</xdr:col>
      <xdr:colOff>152400</xdr:colOff>
      <xdr:row>40</xdr:row>
      <xdr:rowOff>47625</xdr:rowOff>
    </xdr:from>
    <xdr:to>
      <xdr:col>16</xdr:col>
      <xdr:colOff>142875</xdr:colOff>
      <xdr:row>57</xdr:row>
      <xdr:rowOff>76200</xdr:rowOff>
    </xdr:to>
    <xdr:pic>
      <xdr:nvPicPr>
        <xdr:cNvPr id="4" name="Picture 15">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3375" y="7381875"/>
          <a:ext cx="2705100" cy="3105150"/>
        </a:xfrm>
        <a:prstGeom prst="rect">
          <a:avLst/>
        </a:prstGeom>
        <a:noFill/>
      </xdr:spPr>
    </xdr:pic>
    <xdr:clientData/>
  </xdr:twoCellAnchor>
  <xdr:twoCellAnchor>
    <xdr:from>
      <xdr:col>1</xdr:col>
      <xdr:colOff>171450</xdr:colOff>
      <xdr:row>15</xdr:row>
      <xdr:rowOff>114300</xdr:rowOff>
    </xdr:from>
    <xdr:to>
      <xdr:col>12</xdr:col>
      <xdr:colOff>57150</xdr:colOff>
      <xdr:row>19</xdr:row>
      <xdr:rowOff>95250</xdr:rowOff>
    </xdr:to>
    <xdr:sp macro="" textlink="">
      <xdr:nvSpPr>
        <xdr:cNvPr id="5" name="Freeform 20">
          <a:extLst>
            <a:ext uri="{FF2B5EF4-FFF2-40B4-BE49-F238E27FC236}">
              <a16:creationId xmlns:a16="http://schemas.microsoft.com/office/drawing/2014/main" id="{00000000-0008-0000-1000-000005000000}"/>
            </a:ext>
          </a:extLst>
        </xdr:cNvPr>
        <xdr:cNvSpPr>
          <a:spLocks/>
        </xdr:cNvSpPr>
      </xdr:nvSpPr>
      <xdr:spPr bwMode="auto">
        <a:xfrm>
          <a:off x="352425" y="2924175"/>
          <a:ext cx="1876425" cy="704850"/>
        </a:xfrm>
        <a:custGeom>
          <a:avLst/>
          <a:gdLst/>
          <a:ahLst/>
          <a:cxnLst>
            <a:cxn ang="0">
              <a:pos x="0" y="74"/>
            </a:cxn>
            <a:cxn ang="0">
              <a:pos x="28" y="33"/>
            </a:cxn>
            <a:cxn ang="0">
              <a:pos x="93" y="62"/>
            </a:cxn>
            <a:cxn ang="0">
              <a:pos x="136" y="0"/>
            </a:cxn>
            <a:cxn ang="0">
              <a:pos x="197" y="52"/>
            </a:cxn>
          </a:cxnLst>
          <a:rect l="0" t="0" r="r" b="b"/>
          <a:pathLst>
            <a:path w="197" h="74">
              <a:moveTo>
                <a:pt x="0" y="74"/>
              </a:moveTo>
              <a:lnTo>
                <a:pt x="28" y="33"/>
              </a:lnTo>
              <a:lnTo>
                <a:pt x="93" y="62"/>
              </a:lnTo>
              <a:lnTo>
                <a:pt x="136" y="0"/>
              </a:lnTo>
              <a:lnTo>
                <a:pt x="197" y="52"/>
              </a:lnTo>
            </a:path>
          </a:pathLst>
        </a:custGeom>
        <a:noFill/>
        <a:ln w="19050" cmpd="sng">
          <a:solidFill>
            <a:srgbClr val="FF0000"/>
          </a:solidFill>
          <a:round/>
          <a:headEnd/>
          <a:tailEnd/>
        </a:ln>
      </xdr:spPr>
    </xdr:sp>
    <xdr:clientData/>
  </xdr:twoCellAnchor>
  <xdr:twoCellAnchor>
    <xdr:from>
      <xdr:col>25</xdr:col>
      <xdr:colOff>161925</xdr:colOff>
      <xdr:row>21</xdr:row>
      <xdr:rowOff>171450</xdr:rowOff>
    </xdr:from>
    <xdr:to>
      <xdr:col>29</xdr:col>
      <xdr:colOff>171450</xdr:colOff>
      <xdr:row>25</xdr:row>
      <xdr:rowOff>171450</xdr:rowOff>
    </xdr:to>
    <xdr:sp macro="" textlink="">
      <xdr:nvSpPr>
        <xdr:cNvPr id="6" name="Freeform 21">
          <a:extLst>
            <a:ext uri="{FF2B5EF4-FFF2-40B4-BE49-F238E27FC236}">
              <a16:creationId xmlns:a16="http://schemas.microsoft.com/office/drawing/2014/main" id="{00000000-0008-0000-1000-000006000000}"/>
            </a:ext>
          </a:extLst>
        </xdr:cNvPr>
        <xdr:cNvSpPr>
          <a:spLocks/>
        </xdr:cNvSpPr>
      </xdr:nvSpPr>
      <xdr:spPr bwMode="auto">
        <a:xfrm>
          <a:off x="4686300" y="4067175"/>
          <a:ext cx="733425" cy="723900"/>
        </a:xfrm>
        <a:custGeom>
          <a:avLst/>
          <a:gdLst/>
          <a:ahLst/>
          <a:cxnLst>
            <a:cxn ang="0">
              <a:pos x="0" y="76"/>
            </a:cxn>
            <a:cxn ang="0">
              <a:pos x="0" y="0"/>
            </a:cxn>
            <a:cxn ang="0">
              <a:pos x="19" y="0"/>
            </a:cxn>
            <a:cxn ang="0">
              <a:pos x="39" y="38"/>
            </a:cxn>
            <a:cxn ang="0">
              <a:pos x="58" y="0"/>
            </a:cxn>
            <a:cxn ang="0">
              <a:pos x="77" y="0"/>
            </a:cxn>
            <a:cxn ang="0">
              <a:pos x="77" y="76"/>
            </a:cxn>
            <a:cxn ang="0">
              <a:pos x="39" y="57"/>
            </a:cxn>
            <a:cxn ang="0">
              <a:pos x="0" y="76"/>
            </a:cxn>
          </a:cxnLst>
          <a:rect l="0" t="0" r="r" b="b"/>
          <a:pathLst>
            <a:path w="77" h="76">
              <a:moveTo>
                <a:pt x="0" y="76"/>
              </a:moveTo>
              <a:lnTo>
                <a:pt x="0" y="0"/>
              </a:lnTo>
              <a:lnTo>
                <a:pt x="19" y="0"/>
              </a:lnTo>
              <a:lnTo>
                <a:pt x="39" y="38"/>
              </a:lnTo>
              <a:lnTo>
                <a:pt x="58" y="0"/>
              </a:lnTo>
              <a:lnTo>
                <a:pt x="77" y="0"/>
              </a:lnTo>
              <a:lnTo>
                <a:pt x="77" y="76"/>
              </a:lnTo>
              <a:lnTo>
                <a:pt x="39" y="57"/>
              </a:lnTo>
              <a:lnTo>
                <a:pt x="0" y="76"/>
              </a:lnTo>
              <a:close/>
            </a:path>
          </a:pathLst>
        </a:custGeom>
        <a:gradFill rotWithShape="0">
          <a:gsLst>
            <a:gs pos="0">
              <a:srgbClr val="FFFFFF"/>
            </a:gs>
            <a:gs pos="50000">
              <a:srgbClr val="FFFFFF">
                <a:gamma/>
                <a:shade val="46275"/>
                <a:invGamma/>
              </a:srgbClr>
            </a:gs>
            <a:gs pos="100000">
              <a:srgbClr val="FFFFFF"/>
            </a:gs>
          </a:gsLst>
          <a:lin ang="0" scaled="1"/>
        </a:gradFill>
        <a:ln w="19050" cap="flat" cmpd="sng">
          <a:solidFill>
            <a:srgbClr val="000000"/>
          </a:solidFill>
          <a:prstDash val="solid"/>
          <a:round/>
          <a:headEnd/>
          <a:tailEnd/>
        </a:ln>
      </xdr:spPr>
    </xdr:sp>
    <xdr:clientData/>
  </xdr:twoCellAnchor>
  <xdr:twoCellAnchor>
    <xdr:from>
      <xdr:col>2</xdr:col>
      <xdr:colOff>76200</xdr:colOff>
      <xdr:row>21</xdr:row>
      <xdr:rowOff>19050</xdr:rowOff>
    </xdr:from>
    <xdr:to>
      <xdr:col>7</xdr:col>
      <xdr:colOff>123825</xdr:colOff>
      <xdr:row>25</xdr:row>
      <xdr:rowOff>28575</xdr:rowOff>
    </xdr:to>
    <xdr:sp macro="" textlink="">
      <xdr:nvSpPr>
        <xdr:cNvPr id="7" name="Freeform 22">
          <a:extLst>
            <a:ext uri="{FF2B5EF4-FFF2-40B4-BE49-F238E27FC236}">
              <a16:creationId xmlns:a16="http://schemas.microsoft.com/office/drawing/2014/main" id="{00000000-0008-0000-1000-000007000000}"/>
            </a:ext>
          </a:extLst>
        </xdr:cNvPr>
        <xdr:cNvSpPr>
          <a:spLocks/>
        </xdr:cNvSpPr>
      </xdr:nvSpPr>
      <xdr:spPr bwMode="auto">
        <a:xfrm>
          <a:off x="438150" y="3914775"/>
          <a:ext cx="952500" cy="733425"/>
        </a:xfrm>
        <a:custGeom>
          <a:avLst/>
          <a:gdLst/>
          <a:ahLst/>
          <a:cxnLst>
            <a:cxn ang="0">
              <a:pos x="19" y="22"/>
            </a:cxn>
            <a:cxn ang="0">
              <a:pos x="32" y="0"/>
            </a:cxn>
            <a:cxn ang="0">
              <a:pos x="57" y="10"/>
            </a:cxn>
            <a:cxn ang="0">
              <a:pos x="75" y="1"/>
            </a:cxn>
            <a:cxn ang="0">
              <a:pos x="87" y="20"/>
            </a:cxn>
            <a:cxn ang="0">
              <a:pos x="72" y="25"/>
            </a:cxn>
            <a:cxn ang="0">
              <a:pos x="91" y="36"/>
            </a:cxn>
            <a:cxn ang="0">
              <a:pos x="98" y="40"/>
            </a:cxn>
            <a:cxn ang="0">
              <a:pos x="100" y="46"/>
            </a:cxn>
            <a:cxn ang="0">
              <a:pos x="67" y="52"/>
            </a:cxn>
            <a:cxn ang="0">
              <a:pos x="43" y="74"/>
            </a:cxn>
            <a:cxn ang="0">
              <a:pos x="46" y="58"/>
            </a:cxn>
            <a:cxn ang="0">
              <a:pos x="42" y="51"/>
            </a:cxn>
            <a:cxn ang="0">
              <a:pos x="26" y="52"/>
            </a:cxn>
            <a:cxn ang="0">
              <a:pos x="14" y="70"/>
            </a:cxn>
            <a:cxn ang="0">
              <a:pos x="0" y="61"/>
            </a:cxn>
            <a:cxn ang="0">
              <a:pos x="25" y="41"/>
            </a:cxn>
            <a:cxn ang="0">
              <a:pos x="29" y="35"/>
            </a:cxn>
            <a:cxn ang="0">
              <a:pos x="21" y="30"/>
            </a:cxn>
            <a:cxn ang="0">
              <a:pos x="19" y="22"/>
            </a:cxn>
          </a:cxnLst>
          <a:rect l="0" t="0" r="r" b="b"/>
          <a:pathLst>
            <a:path w="100" h="77">
              <a:moveTo>
                <a:pt x="19" y="22"/>
              </a:moveTo>
              <a:cubicBezTo>
                <a:pt x="17" y="7"/>
                <a:pt x="18" y="5"/>
                <a:pt x="32" y="0"/>
              </a:cubicBezTo>
              <a:cubicBezTo>
                <a:pt x="40" y="4"/>
                <a:pt x="48" y="7"/>
                <a:pt x="57" y="10"/>
              </a:cubicBezTo>
              <a:cubicBezTo>
                <a:pt x="63" y="8"/>
                <a:pt x="69" y="3"/>
                <a:pt x="75" y="1"/>
              </a:cubicBezTo>
              <a:cubicBezTo>
                <a:pt x="87" y="3"/>
                <a:pt x="94" y="3"/>
                <a:pt x="87" y="20"/>
              </a:cubicBezTo>
              <a:cubicBezTo>
                <a:pt x="86" y="21"/>
                <a:pt x="73" y="25"/>
                <a:pt x="72" y="25"/>
              </a:cubicBezTo>
              <a:cubicBezTo>
                <a:pt x="69" y="34"/>
                <a:pt x="85" y="35"/>
                <a:pt x="91" y="36"/>
              </a:cubicBezTo>
              <a:cubicBezTo>
                <a:pt x="93" y="38"/>
                <a:pt x="96" y="38"/>
                <a:pt x="98" y="40"/>
              </a:cubicBezTo>
              <a:cubicBezTo>
                <a:pt x="99" y="42"/>
                <a:pt x="100" y="46"/>
                <a:pt x="100" y="46"/>
              </a:cubicBezTo>
              <a:cubicBezTo>
                <a:pt x="93" y="56"/>
                <a:pt x="78" y="52"/>
                <a:pt x="67" y="52"/>
              </a:cubicBezTo>
              <a:cubicBezTo>
                <a:pt x="69" y="77"/>
                <a:pt x="73" y="75"/>
                <a:pt x="43" y="74"/>
              </a:cubicBezTo>
              <a:cubicBezTo>
                <a:pt x="41" y="68"/>
                <a:pt x="41" y="63"/>
                <a:pt x="46" y="58"/>
              </a:cubicBezTo>
              <a:cubicBezTo>
                <a:pt x="48" y="53"/>
                <a:pt x="47" y="52"/>
                <a:pt x="42" y="51"/>
              </a:cubicBezTo>
              <a:cubicBezTo>
                <a:pt x="37" y="51"/>
                <a:pt x="31" y="51"/>
                <a:pt x="26" y="52"/>
              </a:cubicBezTo>
              <a:cubicBezTo>
                <a:pt x="22" y="53"/>
                <a:pt x="20" y="68"/>
                <a:pt x="14" y="70"/>
              </a:cubicBezTo>
              <a:cubicBezTo>
                <a:pt x="4" y="69"/>
                <a:pt x="2" y="70"/>
                <a:pt x="0" y="61"/>
              </a:cubicBezTo>
              <a:cubicBezTo>
                <a:pt x="2" y="43"/>
                <a:pt x="10" y="42"/>
                <a:pt x="25" y="41"/>
              </a:cubicBezTo>
              <a:cubicBezTo>
                <a:pt x="31" y="40"/>
                <a:pt x="31" y="41"/>
                <a:pt x="29" y="35"/>
              </a:cubicBezTo>
              <a:cubicBezTo>
                <a:pt x="28" y="32"/>
                <a:pt x="21" y="30"/>
                <a:pt x="21" y="30"/>
              </a:cubicBezTo>
              <a:cubicBezTo>
                <a:pt x="19" y="23"/>
                <a:pt x="19" y="26"/>
                <a:pt x="19" y="22"/>
              </a:cubicBezTo>
              <a:close/>
            </a:path>
          </a:pathLst>
        </a:custGeom>
        <a:solidFill>
          <a:srgbClr val="FF00FF"/>
        </a:solidFill>
        <a:ln w="9525">
          <a:solidFill>
            <a:srgbClr val="000000"/>
          </a:solidFill>
          <a:round/>
          <a:headEnd/>
          <a:tailEnd/>
        </a:ln>
      </xdr:spPr>
    </xdr:sp>
    <xdr:clientData/>
  </xdr:twoCellAnchor>
  <xdr:twoCellAnchor>
    <xdr:from>
      <xdr:col>25</xdr:col>
      <xdr:colOff>0</xdr:colOff>
      <xdr:row>14</xdr:row>
      <xdr:rowOff>28575</xdr:rowOff>
    </xdr:from>
    <xdr:to>
      <xdr:col>30</xdr:col>
      <xdr:colOff>171450</xdr:colOff>
      <xdr:row>20</xdr:row>
      <xdr:rowOff>28575</xdr:rowOff>
    </xdr:to>
    <xdr:sp macro="" textlink="">
      <xdr:nvSpPr>
        <xdr:cNvPr id="8" name="Freeform 23" descr="Wide upward diagonal">
          <a:extLst>
            <a:ext uri="{FF2B5EF4-FFF2-40B4-BE49-F238E27FC236}">
              <a16:creationId xmlns:a16="http://schemas.microsoft.com/office/drawing/2014/main" id="{00000000-0008-0000-1000-000008000000}"/>
            </a:ext>
          </a:extLst>
        </xdr:cNvPr>
        <xdr:cNvSpPr>
          <a:spLocks/>
        </xdr:cNvSpPr>
      </xdr:nvSpPr>
      <xdr:spPr bwMode="auto">
        <a:xfrm>
          <a:off x="4524375" y="2657475"/>
          <a:ext cx="1076325" cy="1085850"/>
        </a:xfrm>
        <a:custGeom>
          <a:avLst/>
          <a:gdLst/>
          <a:ahLst/>
          <a:cxnLst>
            <a:cxn ang="0">
              <a:pos x="0" y="0"/>
            </a:cxn>
            <a:cxn ang="0">
              <a:pos x="113" y="0"/>
            </a:cxn>
            <a:cxn ang="0">
              <a:pos x="113" y="38"/>
            </a:cxn>
            <a:cxn ang="0">
              <a:pos x="77" y="38"/>
            </a:cxn>
            <a:cxn ang="0">
              <a:pos x="77" y="114"/>
            </a:cxn>
            <a:cxn ang="0">
              <a:pos x="38" y="114"/>
            </a:cxn>
            <a:cxn ang="0">
              <a:pos x="38" y="38"/>
            </a:cxn>
            <a:cxn ang="0">
              <a:pos x="0" y="38"/>
            </a:cxn>
            <a:cxn ang="0">
              <a:pos x="0" y="0"/>
            </a:cxn>
          </a:cxnLst>
          <a:rect l="0" t="0" r="r" b="b"/>
          <a:pathLst>
            <a:path w="113" h="114">
              <a:moveTo>
                <a:pt x="0" y="0"/>
              </a:moveTo>
              <a:lnTo>
                <a:pt x="113" y="0"/>
              </a:lnTo>
              <a:lnTo>
                <a:pt x="113" y="38"/>
              </a:lnTo>
              <a:lnTo>
                <a:pt x="77" y="38"/>
              </a:lnTo>
              <a:lnTo>
                <a:pt x="77" y="114"/>
              </a:lnTo>
              <a:lnTo>
                <a:pt x="38" y="114"/>
              </a:lnTo>
              <a:lnTo>
                <a:pt x="38" y="38"/>
              </a:lnTo>
              <a:lnTo>
                <a:pt x="0" y="38"/>
              </a:lnTo>
              <a:lnTo>
                <a:pt x="0" y="0"/>
              </a:lnTo>
              <a:close/>
            </a:path>
          </a:pathLst>
        </a:custGeom>
        <a:pattFill prst="wdUpDiag">
          <a:fgClr>
            <a:srgbClr val="000000"/>
          </a:fgClr>
          <a:bgClr>
            <a:srgbClr val="FFFFFF"/>
          </a:bgClr>
        </a:pattFill>
        <a:ln w="28575" cap="flat" cmpd="sng">
          <a:solidFill>
            <a:srgbClr val="000000"/>
          </a:solidFill>
          <a:prstDash val="solid"/>
          <a:round/>
          <a:headEnd/>
          <a:tailEnd/>
        </a:ln>
      </xdr:spPr>
    </xdr:sp>
    <xdr:clientData/>
  </xdr:twoCellAnchor>
  <xdr:twoCellAnchor>
    <xdr:from>
      <xdr:col>1</xdr:col>
      <xdr:colOff>171450</xdr:colOff>
      <xdr:row>32</xdr:row>
      <xdr:rowOff>9525</xdr:rowOff>
    </xdr:from>
    <xdr:to>
      <xdr:col>10</xdr:col>
      <xdr:colOff>171450</xdr:colOff>
      <xdr:row>35</xdr:row>
      <xdr:rowOff>9525</xdr:rowOff>
    </xdr:to>
    <xdr:sp macro="" textlink="">
      <xdr:nvSpPr>
        <xdr:cNvPr id="9" name="Rectangle 24">
          <a:extLst>
            <a:ext uri="{FF2B5EF4-FFF2-40B4-BE49-F238E27FC236}">
              <a16:creationId xmlns:a16="http://schemas.microsoft.com/office/drawing/2014/main" id="{00000000-0008-0000-1000-000009000000}"/>
            </a:ext>
          </a:extLst>
        </xdr:cNvPr>
        <xdr:cNvSpPr>
          <a:spLocks noChangeArrowheads="1"/>
        </xdr:cNvSpPr>
      </xdr:nvSpPr>
      <xdr:spPr bwMode="auto">
        <a:xfrm>
          <a:off x="352425" y="5895975"/>
          <a:ext cx="1628775" cy="542925"/>
        </a:xfrm>
        <a:prstGeom prst="rect">
          <a:avLst/>
        </a:prstGeom>
        <a:solidFill>
          <a:srgbClr val="00FFFF"/>
        </a:solidFill>
        <a:ln w="9525">
          <a:solidFill>
            <a:srgbClr val="000000"/>
          </a:solidFill>
          <a:miter lim="800000"/>
          <a:headEnd/>
          <a:tailEnd/>
        </a:ln>
      </xdr:spPr>
    </xdr:sp>
    <xdr:clientData/>
  </xdr:twoCellAnchor>
  <xdr:twoCellAnchor>
    <xdr:from>
      <xdr:col>4</xdr:col>
      <xdr:colOff>171450</xdr:colOff>
      <xdr:row>30</xdr:row>
      <xdr:rowOff>9525</xdr:rowOff>
    </xdr:from>
    <xdr:to>
      <xdr:col>7</xdr:col>
      <xdr:colOff>171450</xdr:colOff>
      <xdr:row>37</xdr:row>
      <xdr:rowOff>9525</xdr:rowOff>
    </xdr:to>
    <xdr:sp macro="" textlink="">
      <xdr:nvSpPr>
        <xdr:cNvPr id="10" name="Oval 25">
          <a:extLst>
            <a:ext uri="{FF2B5EF4-FFF2-40B4-BE49-F238E27FC236}">
              <a16:creationId xmlns:a16="http://schemas.microsoft.com/office/drawing/2014/main" id="{00000000-0008-0000-1000-00000A000000}"/>
            </a:ext>
          </a:extLst>
        </xdr:cNvPr>
        <xdr:cNvSpPr>
          <a:spLocks noChangeArrowheads="1"/>
        </xdr:cNvSpPr>
      </xdr:nvSpPr>
      <xdr:spPr bwMode="auto">
        <a:xfrm>
          <a:off x="895350" y="5534025"/>
          <a:ext cx="542925" cy="1266825"/>
        </a:xfrm>
        <a:prstGeom prst="ellipse">
          <a:avLst/>
        </a:prstGeom>
        <a:solidFill>
          <a:srgbClr val="FFCC99"/>
        </a:solidFill>
        <a:ln w="9525">
          <a:solidFill>
            <a:srgbClr val="000000"/>
          </a:solidFill>
          <a:round/>
          <a:headEnd/>
          <a:tailEnd/>
        </a:ln>
      </xdr:spPr>
    </xdr:sp>
    <xdr:clientData/>
  </xdr:twoCellAnchor>
  <xdr:twoCellAnchor>
    <xdr:from>
      <xdr:col>3</xdr:col>
      <xdr:colOff>171450</xdr:colOff>
      <xdr:row>33</xdr:row>
      <xdr:rowOff>9525</xdr:rowOff>
    </xdr:from>
    <xdr:to>
      <xdr:col>8</xdr:col>
      <xdr:colOff>171450</xdr:colOff>
      <xdr:row>34</xdr:row>
      <xdr:rowOff>9525</xdr:rowOff>
    </xdr:to>
    <xdr:sp macro="" textlink="">
      <xdr:nvSpPr>
        <xdr:cNvPr id="11" name="Oval 26">
          <a:extLst>
            <a:ext uri="{FF2B5EF4-FFF2-40B4-BE49-F238E27FC236}">
              <a16:creationId xmlns:a16="http://schemas.microsoft.com/office/drawing/2014/main" id="{00000000-0008-0000-1000-00000B000000}"/>
            </a:ext>
          </a:extLst>
        </xdr:cNvPr>
        <xdr:cNvSpPr>
          <a:spLocks noChangeArrowheads="1"/>
        </xdr:cNvSpPr>
      </xdr:nvSpPr>
      <xdr:spPr bwMode="auto">
        <a:xfrm>
          <a:off x="714375" y="6076950"/>
          <a:ext cx="904875" cy="180975"/>
        </a:xfrm>
        <a:prstGeom prst="ellipse">
          <a:avLst/>
        </a:prstGeom>
        <a:solidFill>
          <a:srgbClr val="FFFF00"/>
        </a:solidFill>
        <a:ln w="9525">
          <a:solidFill>
            <a:srgbClr val="000000"/>
          </a:solidFill>
          <a:round/>
          <a:headEnd/>
          <a:tailEnd/>
        </a:ln>
      </xdr:spPr>
    </xdr:sp>
    <xdr:clientData/>
  </xdr:twoCellAnchor>
  <xdr:twoCellAnchor>
    <xdr:from>
      <xdr:col>18</xdr:col>
      <xdr:colOff>0</xdr:colOff>
      <xdr:row>43</xdr:row>
      <xdr:rowOff>9525</xdr:rowOff>
    </xdr:from>
    <xdr:to>
      <xdr:col>23</xdr:col>
      <xdr:colOff>123825</xdr:colOff>
      <xdr:row>50</xdr:row>
      <xdr:rowOff>47625</xdr:rowOff>
    </xdr:to>
    <xdr:grpSp>
      <xdr:nvGrpSpPr>
        <xdr:cNvPr id="12" name="Group 33">
          <a:extLst>
            <a:ext uri="{FF2B5EF4-FFF2-40B4-BE49-F238E27FC236}">
              <a16:creationId xmlns:a16="http://schemas.microsoft.com/office/drawing/2014/main" id="{00000000-0008-0000-1000-00000C000000}"/>
            </a:ext>
          </a:extLst>
        </xdr:cNvPr>
        <xdr:cNvGrpSpPr>
          <a:grpSpLocks/>
        </xdr:cNvGrpSpPr>
      </xdr:nvGrpSpPr>
      <xdr:grpSpPr bwMode="auto">
        <a:xfrm>
          <a:off x="3291840" y="7644765"/>
          <a:ext cx="1038225" cy="1264920"/>
          <a:chOff x="452" y="745"/>
          <a:chExt cx="108" cy="137"/>
        </a:xfrm>
      </xdr:grpSpPr>
      <xdr:grpSp>
        <xdr:nvGrpSpPr>
          <xdr:cNvPr id="13" name="Group 29">
            <a:extLst>
              <a:ext uri="{FF2B5EF4-FFF2-40B4-BE49-F238E27FC236}">
                <a16:creationId xmlns:a16="http://schemas.microsoft.com/office/drawing/2014/main" id="{00000000-0008-0000-1000-00000D000000}"/>
              </a:ext>
            </a:extLst>
          </xdr:cNvPr>
          <xdr:cNvGrpSpPr>
            <a:grpSpLocks/>
          </xdr:cNvGrpSpPr>
        </xdr:nvGrpSpPr>
        <xdr:grpSpPr bwMode="auto">
          <a:xfrm>
            <a:off x="452" y="745"/>
            <a:ext cx="108" cy="137"/>
            <a:chOff x="455" y="677"/>
            <a:chExt cx="154" cy="190"/>
          </a:xfrm>
        </xdr:grpSpPr>
        <xdr:sp macro="" textlink="">
          <xdr:nvSpPr>
            <xdr:cNvPr id="15" name="Freeform 27" descr="Granite">
              <a:extLst>
                <a:ext uri="{FF2B5EF4-FFF2-40B4-BE49-F238E27FC236}">
                  <a16:creationId xmlns:a16="http://schemas.microsoft.com/office/drawing/2014/main" id="{00000000-0008-0000-1000-00000F000000}"/>
                </a:ext>
              </a:extLst>
            </xdr:cNvPr>
            <xdr:cNvSpPr>
              <a:spLocks/>
            </xdr:cNvSpPr>
          </xdr:nvSpPr>
          <xdr:spPr bwMode="auto">
            <a:xfrm>
              <a:off x="455" y="677"/>
              <a:ext cx="154" cy="190"/>
            </a:xfrm>
            <a:custGeom>
              <a:avLst/>
              <a:gdLst/>
              <a:ahLst/>
              <a:cxnLst>
                <a:cxn ang="0">
                  <a:pos x="39" y="190"/>
                </a:cxn>
                <a:cxn ang="0">
                  <a:pos x="0" y="190"/>
                </a:cxn>
                <a:cxn ang="0">
                  <a:pos x="0" y="1"/>
                </a:cxn>
                <a:cxn ang="0">
                  <a:pos x="40" y="1"/>
                </a:cxn>
                <a:cxn ang="0">
                  <a:pos x="78" y="57"/>
                </a:cxn>
                <a:cxn ang="0">
                  <a:pos x="116" y="0"/>
                </a:cxn>
                <a:cxn ang="0">
                  <a:pos x="154" y="0"/>
                </a:cxn>
                <a:cxn ang="0">
                  <a:pos x="154" y="189"/>
                </a:cxn>
                <a:cxn ang="0">
                  <a:pos x="115" y="189"/>
                </a:cxn>
              </a:cxnLst>
              <a:rect l="0" t="0" r="r" b="b"/>
              <a:pathLst>
                <a:path w="154" h="190">
                  <a:moveTo>
                    <a:pt x="39" y="190"/>
                  </a:moveTo>
                  <a:lnTo>
                    <a:pt x="0" y="190"/>
                  </a:lnTo>
                  <a:lnTo>
                    <a:pt x="0" y="1"/>
                  </a:lnTo>
                  <a:lnTo>
                    <a:pt x="40" y="1"/>
                  </a:lnTo>
                  <a:lnTo>
                    <a:pt x="78" y="57"/>
                  </a:lnTo>
                  <a:lnTo>
                    <a:pt x="116" y="0"/>
                  </a:lnTo>
                  <a:lnTo>
                    <a:pt x="154" y="0"/>
                  </a:lnTo>
                  <a:lnTo>
                    <a:pt x="154" y="189"/>
                  </a:lnTo>
                  <a:lnTo>
                    <a:pt x="115" y="189"/>
                  </a:lnTo>
                </a:path>
              </a:pathLst>
            </a:custGeom>
            <a:blipFill dpi="0" rotWithShape="1">
              <a:blip xmlns:r="http://schemas.openxmlformats.org/officeDocument/2006/relationships" r:embed="rId2" cstate="print"/>
              <a:srcRect/>
              <a:tile tx="0" ty="0" sx="100000" sy="100000" flip="none" algn="tl"/>
            </a:blipFill>
            <a:ln w="9525" cap="flat" cmpd="sng">
              <a:prstDash val="solid"/>
              <a:round/>
              <a:headEnd type="none" w="med" len="med"/>
              <a:tailEnd type="none" w="med" len="med"/>
            </a:ln>
            <a:effectLst/>
            <a:scene3d>
              <a:camera prst="legacyPerspectiveTopRight"/>
              <a:lightRig rig="legacyFlat3" dir="b"/>
            </a:scene3d>
            <a:sp3d extrusionH="887400" prstMaterial="legacyMatte">
              <a:bevelT w="13500" h="13500" prst="angle"/>
              <a:bevelB w="13500" h="13500" prst="angle"/>
              <a:extrusionClr>
                <a:srgbClr val="DDDDDD"/>
              </a:extrusionClr>
            </a:sp3d>
          </xdr:spPr>
        </xdr:sp>
        <xdr:sp macro="" textlink="">
          <xdr:nvSpPr>
            <xdr:cNvPr id="16" name="Arc 28">
              <a:extLst>
                <a:ext uri="{FF2B5EF4-FFF2-40B4-BE49-F238E27FC236}">
                  <a16:creationId xmlns:a16="http://schemas.microsoft.com/office/drawing/2014/main" id="{00000000-0008-0000-1000-000010000000}"/>
                </a:ext>
              </a:extLst>
            </xdr:cNvPr>
            <xdr:cNvSpPr>
              <a:spLocks/>
            </xdr:cNvSpPr>
          </xdr:nvSpPr>
          <xdr:spPr bwMode="auto">
            <a:xfrm>
              <a:off x="495" y="829"/>
              <a:ext cx="76" cy="38"/>
            </a:xfrm>
            <a:custGeom>
              <a:avLst/>
              <a:gdLst>
                <a:gd name="G0" fmla="+- 21592 0 0"/>
                <a:gd name="G1" fmla="+- 21600 0 0"/>
                <a:gd name="G2" fmla="+- 21600 0 0"/>
                <a:gd name="T0" fmla="*/ 0 w 43192"/>
                <a:gd name="T1" fmla="*/ 21031 h 21600"/>
                <a:gd name="T2" fmla="*/ 43192 w 43192"/>
                <a:gd name="T3" fmla="*/ 21600 h 21600"/>
                <a:gd name="T4" fmla="*/ 21592 w 43192"/>
                <a:gd name="T5" fmla="*/ 21600 h 21600"/>
              </a:gdLst>
              <a:ahLst/>
              <a:cxnLst>
                <a:cxn ang="0">
                  <a:pos x="T0" y="T1"/>
                </a:cxn>
                <a:cxn ang="0">
                  <a:pos x="T2" y="T3"/>
                </a:cxn>
                <a:cxn ang="0">
                  <a:pos x="T4" y="T5"/>
                </a:cxn>
              </a:cxnLst>
              <a:rect l="0" t="0" r="r" b="b"/>
              <a:pathLst>
                <a:path w="43192" h="21600" fill="none" extrusionOk="0">
                  <a:moveTo>
                    <a:pt x="-1" y="21030"/>
                  </a:moveTo>
                  <a:cubicBezTo>
                    <a:pt x="307" y="9327"/>
                    <a:pt x="9884" y="-1"/>
                    <a:pt x="21592" y="0"/>
                  </a:cubicBezTo>
                  <a:cubicBezTo>
                    <a:pt x="33521" y="0"/>
                    <a:pt x="43192" y="9670"/>
                    <a:pt x="43192" y="21600"/>
                  </a:cubicBezTo>
                </a:path>
                <a:path w="43192" h="21600" stroke="0" extrusionOk="0">
                  <a:moveTo>
                    <a:pt x="-1" y="21030"/>
                  </a:moveTo>
                  <a:cubicBezTo>
                    <a:pt x="307" y="9327"/>
                    <a:pt x="9884" y="-1"/>
                    <a:pt x="21592" y="0"/>
                  </a:cubicBezTo>
                  <a:cubicBezTo>
                    <a:pt x="33521" y="0"/>
                    <a:pt x="43192" y="9670"/>
                    <a:pt x="43192" y="21600"/>
                  </a:cubicBezTo>
                  <a:lnTo>
                    <a:pt x="21592" y="21600"/>
                  </a:lnTo>
                  <a:close/>
                </a:path>
              </a:pathLst>
            </a:custGeom>
            <a:solidFill>
              <a:srgbClr val="FFFFFF"/>
            </a:solidFill>
            <a:ln w="9525">
              <a:solidFill>
                <a:srgbClr val="000000"/>
              </a:solidFill>
              <a:round/>
              <a:headEnd/>
              <a:tailEnd/>
            </a:ln>
          </xdr:spPr>
        </xdr:sp>
      </xdr:grpSp>
      <xdr:sp macro="" textlink="">
        <xdr:nvSpPr>
          <xdr:cNvPr id="14" name="Freeform 32">
            <a:extLst>
              <a:ext uri="{FF2B5EF4-FFF2-40B4-BE49-F238E27FC236}">
                <a16:creationId xmlns:a16="http://schemas.microsoft.com/office/drawing/2014/main" id="{00000000-0008-0000-1000-00000E000000}"/>
              </a:ext>
            </a:extLst>
          </xdr:cNvPr>
          <xdr:cNvSpPr>
            <a:spLocks/>
          </xdr:cNvSpPr>
        </xdr:nvSpPr>
        <xdr:spPr bwMode="auto">
          <a:xfrm>
            <a:off x="480" y="856"/>
            <a:ext cx="17" cy="25"/>
          </a:xfrm>
          <a:custGeom>
            <a:avLst/>
            <a:gdLst/>
            <a:ahLst/>
            <a:cxnLst>
              <a:cxn ang="0">
                <a:pos x="0" y="25"/>
              </a:cxn>
              <a:cxn ang="0">
                <a:pos x="17" y="8"/>
              </a:cxn>
              <a:cxn ang="0">
                <a:pos x="17" y="0"/>
              </a:cxn>
            </a:cxnLst>
            <a:rect l="0" t="0" r="r" b="b"/>
            <a:pathLst>
              <a:path w="17" h="25">
                <a:moveTo>
                  <a:pt x="0" y="25"/>
                </a:moveTo>
                <a:lnTo>
                  <a:pt x="17" y="8"/>
                </a:lnTo>
                <a:lnTo>
                  <a:pt x="17" y="0"/>
                </a:lnTo>
              </a:path>
            </a:pathLst>
          </a:custGeom>
          <a:solidFill>
            <a:srgbClr val="C0C0C0"/>
          </a:solidFill>
          <a:ln w="9525">
            <a:solidFill>
              <a:srgbClr val="000000"/>
            </a:solidFill>
            <a:round/>
            <a:headEnd/>
            <a:tailEnd/>
          </a:ln>
        </xdr:spPr>
      </xdr:sp>
    </xdr:grpSp>
    <xdr:clientData/>
  </xdr:twoCellAnchor>
  <xdr:twoCellAnchor>
    <xdr:from>
      <xdr:col>25</xdr:col>
      <xdr:colOff>134471</xdr:colOff>
      <xdr:row>4</xdr:row>
      <xdr:rowOff>11024</xdr:rowOff>
    </xdr:from>
    <xdr:to>
      <xdr:col>53</xdr:col>
      <xdr:colOff>127301</xdr:colOff>
      <xdr:row>7</xdr:row>
      <xdr:rowOff>124315</xdr:rowOff>
    </xdr:to>
    <xdr:sp macro="" textlink="">
      <xdr:nvSpPr>
        <xdr:cNvPr id="40" name="Vabakuju: kujund 39">
          <a:extLst>
            <a:ext uri="{FF2B5EF4-FFF2-40B4-BE49-F238E27FC236}">
              <a16:creationId xmlns:a16="http://schemas.microsoft.com/office/drawing/2014/main" id="{00000000-0008-0000-1000-000028000000}"/>
            </a:ext>
          </a:extLst>
        </xdr:cNvPr>
        <xdr:cNvSpPr/>
      </xdr:nvSpPr>
      <xdr:spPr>
        <a:xfrm>
          <a:off x="4616824" y="829053"/>
          <a:ext cx="5013065" cy="651174"/>
        </a:xfrm>
        <a:custGeom>
          <a:avLst/>
          <a:gdLst>
            <a:gd name="connsiteX0" fmla="*/ 0 w 5013065"/>
            <a:gd name="connsiteY0" fmla="*/ 369976 h 651174"/>
            <a:gd name="connsiteX1" fmla="*/ 986117 w 5013065"/>
            <a:gd name="connsiteY1" fmla="*/ 112241 h 651174"/>
            <a:gd name="connsiteX2" fmla="*/ 2319617 w 5013065"/>
            <a:gd name="connsiteY2" fmla="*/ 515653 h 651174"/>
            <a:gd name="connsiteX3" fmla="*/ 3473823 w 5013065"/>
            <a:gd name="connsiteY3" fmla="*/ 182 h 651174"/>
            <a:gd name="connsiteX4" fmla="*/ 4773705 w 5013065"/>
            <a:gd name="connsiteY4" fmla="*/ 582888 h 651174"/>
            <a:gd name="connsiteX5" fmla="*/ 5009029 w 5013065"/>
            <a:gd name="connsiteY5" fmla="*/ 616506 h 6511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5013065" h="651174">
              <a:moveTo>
                <a:pt x="0" y="369976"/>
              </a:moveTo>
              <a:cubicBezTo>
                <a:pt x="299757" y="228969"/>
                <a:pt x="599514" y="87962"/>
                <a:pt x="986117" y="112241"/>
              </a:cubicBezTo>
              <a:cubicBezTo>
                <a:pt x="1372720" y="136520"/>
                <a:pt x="1904999" y="534330"/>
                <a:pt x="2319617" y="515653"/>
              </a:cubicBezTo>
              <a:cubicBezTo>
                <a:pt x="2734235" y="496977"/>
                <a:pt x="3064809" y="-11024"/>
                <a:pt x="3473823" y="182"/>
              </a:cubicBezTo>
              <a:cubicBezTo>
                <a:pt x="3882837" y="11388"/>
                <a:pt x="4517837" y="480167"/>
                <a:pt x="4773705" y="582888"/>
              </a:cubicBezTo>
              <a:cubicBezTo>
                <a:pt x="5029573" y="685609"/>
                <a:pt x="5019301" y="651057"/>
                <a:pt x="5009029" y="616506"/>
              </a:cubicBezTo>
            </a:path>
          </a:pathLst>
        </a:cu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25</xdr:col>
      <xdr:colOff>33618</xdr:colOff>
      <xdr:row>8</xdr:row>
      <xdr:rowOff>67235</xdr:rowOff>
    </xdr:from>
    <xdr:to>
      <xdr:col>54</xdr:col>
      <xdr:colOff>5814</xdr:colOff>
      <xdr:row>12</xdr:row>
      <xdr:rowOff>80384</xdr:rowOff>
    </xdr:to>
    <xdr:sp macro="" textlink="">
      <xdr:nvSpPr>
        <xdr:cNvPr id="41" name="Vabakuju: kujund 40">
          <a:extLst>
            <a:ext uri="{FF2B5EF4-FFF2-40B4-BE49-F238E27FC236}">
              <a16:creationId xmlns:a16="http://schemas.microsoft.com/office/drawing/2014/main" id="{00000000-0008-0000-1000-000029000000}"/>
            </a:ext>
          </a:extLst>
        </xdr:cNvPr>
        <xdr:cNvSpPr/>
      </xdr:nvSpPr>
      <xdr:spPr>
        <a:xfrm>
          <a:off x="4515971" y="1602441"/>
          <a:ext cx="5171725" cy="730325"/>
        </a:xfrm>
        <a:custGeom>
          <a:avLst/>
          <a:gdLst>
            <a:gd name="connsiteX0" fmla="*/ 0 w 5171725"/>
            <a:gd name="connsiteY0" fmla="*/ 605118 h 730325"/>
            <a:gd name="connsiteX1" fmla="*/ 1042147 w 5171725"/>
            <a:gd name="connsiteY1" fmla="*/ 156883 h 730325"/>
            <a:gd name="connsiteX2" fmla="*/ 1927411 w 5171725"/>
            <a:gd name="connsiteY2" fmla="*/ 672353 h 730325"/>
            <a:gd name="connsiteX3" fmla="*/ 2980764 w 5171725"/>
            <a:gd name="connsiteY3" fmla="*/ 0 h 730325"/>
            <a:gd name="connsiteX4" fmla="*/ 3978088 w 5171725"/>
            <a:gd name="connsiteY4" fmla="*/ 728383 h 730325"/>
            <a:gd name="connsiteX5" fmla="*/ 5009029 w 5171725"/>
            <a:gd name="connsiteY5" fmla="*/ 212912 h 730325"/>
            <a:gd name="connsiteX6" fmla="*/ 5154705 w 5171725"/>
            <a:gd name="connsiteY6" fmla="*/ 190500 h 7303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171725" h="730325">
              <a:moveTo>
                <a:pt x="0" y="605118"/>
              </a:moveTo>
              <a:cubicBezTo>
                <a:pt x="360456" y="375397"/>
                <a:pt x="720912" y="145677"/>
                <a:pt x="1042147" y="156883"/>
              </a:cubicBezTo>
              <a:cubicBezTo>
                <a:pt x="1363382" y="168089"/>
                <a:pt x="1604308" y="698500"/>
                <a:pt x="1927411" y="672353"/>
              </a:cubicBezTo>
              <a:cubicBezTo>
                <a:pt x="2250514" y="646206"/>
                <a:pt x="2734234" y="48559"/>
                <a:pt x="2980764" y="0"/>
              </a:cubicBezTo>
              <a:cubicBezTo>
                <a:pt x="3313205" y="242794"/>
                <a:pt x="3640044" y="692898"/>
                <a:pt x="3978088" y="728383"/>
              </a:cubicBezTo>
              <a:cubicBezTo>
                <a:pt x="4316132" y="763868"/>
                <a:pt x="4812926" y="302559"/>
                <a:pt x="5009029" y="212912"/>
              </a:cubicBezTo>
              <a:cubicBezTo>
                <a:pt x="5205132" y="123265"/>
                <a:pt x="5179918" y="156882"/>
                <a:pt x="5154705" y="190500"/>
              </a:cubicBezTo>
            </a:path>
          </a:pathLst>
        </a:cu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15</xdr:col>
      <xdr:colOff>11206</xdr:colOff>
      <xdr:row>16</xdr:row>
      <xdr:rowOff>44823</xdr:rowOff>
    </xdr:from>
    <xdr:to>
      <xdr:col>24</xdr:col>
      <xdr:colOff>100853</xdr:colOff>
      <xdr:row>19</xdr:row>
      <xdr:rowOff>123265</xdr:rowOff>
    </xdr:to>
    <xdr:sp macro="" textlink="">
      <xdr:nvSpPr>
        <xdr:cNvPr id="45" name="Vabakuju: kujund 44">
          <a:extLst>
            <a:ext uri="{FF2B5EF4-FFF2-40B4-BE49-F238E27FC236}">
              <a16:creationId xmlns:a16="http://schemas.microsoft.com/office/drawing/2014/main" id="{00000000-0008-0000-1000-00002D000000}"/>
            </a:ext>
          </a:extLst>
        </xdr:cNvPr>
        <xdr:cNvSpPr/>
      </xdr:nvSpPr>
      <xdr:spPr>
        <a:xfrm>
          <a:off x="2700618" y="3014382"/>
          <a:ext cx="1703294" cy="616324"/>
        </a:xfrm>
        <a:custGeom>
          <a:avLst/>
          <a:gdLst>
            <a:gd name="connsiteX0" fmla="*/ 0 w 1703294"/>
            <a:gd name="connsiteY0" fmla="*/ 448236 h 616324"/>
            <a:gd name="connsiteX1" fmla="*/ 381000 w 1703294"/>
            <a:gd name="connsiteY1" fmla="*/ 22412 h 616324"/>
            <a:gd name="connsiteX2" fmla="*/ 784411 w 1703294"/>
            <a:gd name="connsiteY2" fmla="*/ 571500 h 616324"/>
            <a:gd name="connsiteX3" fmla="*/ 1333500 w 1703294"/>
            <a:gd name="connsiteY3" fmla="*/ 0 h 616324"/>
            <a:gd name="connsiteX4" fmla="*/ 1703294 w 1703294"/>
            <a:gd name="connsiteY4" fmla="*/ 616324 h 61632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03294" h="616324">
              <a:moveTo>
                <a:pt x="0" y="448236"/>
              </a:moveTo>
              <a:lnTo>
                <a:pt x="381000" y="22412"/>
              </a:lnTo>
              <a:lnTo>
                <a:pt x="784411" y="571500"/>
              </a:lnTo>
              <a:lnTo>
                <a:pt x="1333500" y="0"/>
              </a:lnTo>
              <a:lnTo>
                <a:pt x="1703294" y="616324"/>
              </a:lnTo>
            </a:path>
          </a:pathLst>
        </a:custGeom>
        <a:no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15</xdr:col>
      <xdr:colOff>134470</xdr:colOff>
      <xdr:row>20</xdr:row>
      <xdr:rowOff>44824</xdr:rowOff>
    </xdr:from>
    <xdr:to>
      <xdr:col>22</xdr:col>
      <xdr:colOff>80533</xdr:colOff>
      <xdr:row>27</xdr:row>
      <xdr:rowOff>123265</xdr:rowOff>
    </xdr:to>
    <xdr:sp macro="" textlink="">
      <xdr:nvSpPr>
        <xdr:cNvPr id="47" name="Vabakuju: kujund 46">
          <a:extLst>
            <a:ext uri="{FF2B5EF4-FFF2-40B4-BE49-F238E27FC236}">
              <a16:creationId xmlns:a16="http://schemas.microsoft.com/office/drawing/2014/main" id="{00000000-0008-0000-1000-00002F000000}"/>
            </a:ext>
          </a:extLst>
        </xdr:cNvPr>
        <xdr:cNvSpPr/>
      </xdr:nvSpPr>
      <xdr:spPr>
        <a:xfrm>
          <a:off x="2823882" y="3731559"/>
          <a:ext cx="1201122" cy="1333500"/>
        </a:xfrm>
        <a:custGeom>
          <a:avLst/>
          <a:gdLst>
            <a:gd name="connsiteX0" fmla="*/ 313765 w 1201122"/>
            <a:gd name="connsiteY0" fmla="*/ 694765 h 1333500"/>
            <a:gd name="connsiteX1" fmla="*/ 123265 w 1201122"/>
            <a:gd name="connsiteY1" fmla="*/ 616323 h 1333500"/>
            <a:gd name="connsiteX2" fmla="*/ 56030 w 1201122"/>
            <a:gd name="connsiteY2" fmla="*/ 571500 h 1333500"/>
            <a:gd name="connsiteX3" fmla="*/ 22412 w 1201122"/>
            <a:gd name="connsiteY3" fmla="*/ 493059 h 1333500"/>
            <a:gd name="connsiteX4" fmla="*/ 67236 w 1201122"/>
            <a:gd name="connsiteY4" fmla="*/ 358588 h 1333500"/>
            <a:gd name="connsiteX5" fmla="*/ 78442 w 1201122"/>
            <a:gd name="connsiteY5" fmla="*/ 324970 h 1333500"/>
            <a:gd name="connsiteX6" fmla="*/ 156883 w 1201122"/>
            <a:gd name="connsiteY6" fmla="*/ 291353 h 1333500"/>
            <a:gd name="connsiteX7" fmla="*/ 369794 w 1201122"/>
            <a:gd name="connsiteY7" fmla="*/ 11206 h 1333500"/>
            <a:gd name="connsiteX8" fmla="*/ 448236 w 1201122"/>
            <a:gd name="connsiteY8" fmla="*/ 0 h 1333500"/>
            <a:gd name="connsiteX9" fmla="*/ 571500 w 1201122"/>
            <a:gd name="connsiteY9" fmla="*/ 100853 h 1333500"/>
            <a:gd name="connsiteX10" fmla="*/ 627530 w 1201122"/>
            <a:gd name="connsiteY10" fmla="*/ 302559 h 1333500"/>
            <a:gd name="connsiteX11" fmla="*/ 986118 w 1201122"/>
            <a:gd name="connsiteY11" fmla="*/ 134470 h 1333500"/>
            <a:gd name="connsiteX12" fmla="*/ 1109383 w 1201122"/>
            <a:gd name="connsiteY12" fmla="*/ 145676 h 1333500"/>
            <a:gd name="connsiteX13" fmla="*/ 1187824 w 1201122"/>
            <a:gd name="connsiteY13" fmla="*/ 257735 h 1333500"/>
            <a:gd name="connsiteX14" fmla="*/ 1075765 w 1201122"/>
            <a:gd name="connsiteY14" fmla="*/ 549088 h 1333500"/>
            <a:gd name="connsiteX15" fmla="*/ 1030942 w 1201122"/>
            <a:gd name="connsiteY15" fmla="*/ 571500 h 1333500"/>
            <a:gd name="connsiteX16" fmla="*/ 1098177 w 1201122"/>
            <a:gd name="connsiteY16" fmla="*/ 593912 h 1333500"/>
            <a:gd name="connsiteX17" fmla="*/ 1165412 w 1201122"/>
            <a:gd name="connsiteY17" fmla="*/ 818029 h 1333500"/>
            <a:gd name="connsiteX18" fmla="*/ 1154206 w 1201122"/>
            <a:gd name="connsiteY18" fmla="*/ 862853 h 1333500"/>
            <a:gd name="connsiteX19" fmla="*/ 918883 w 1201122"/>
            <a:gd name="connsiteY19" fmla="*/ 952500 h 1333500"/>
            <a:gd name="connsiteX20" fmla="*/ 705971 w 1201122"/>
            <a:gd name="connsiteY20" fmla="*/ 907676 h 1333500"/>
            <a:gd name="connsiteX21" fmla="*/ 728383 w 1201122"/>
            <a:gd name="connsiteY21" fmla="*/ 1221441 h 1333500"/>
            <a:gd name="connsiteX22" fmla="*/ 515471 w 1201122"/>
            <a:gd name="connsiteY22" fmla="*/ 1333500 h 1333500"/>
            <a:gd name="connsiteX23" fmla="*/ 358589 w 1201122"/>
            <a:gd name="connsiteY23" fmla="*/ 1311088 h 1333500"/>
            <a:gd name="connsiteX24" fmla="*/ 257736 w 1201122"/>
            <a:gd name="connsiteY24" fmla="*/ 1187823 h 1333500"/>
            <a:gd name="connsiteX25" fmla="*/ 168089 w 1201122"/>
            <a:gd name="connsiteY25" fmla="*/ 1120588 h 1333500"/>
            <a:gd name="connsiteX26" fmla="*/ 100853 w 1201122"/>
            <a:gd name="connsiteY26" fmla="*/ 1030941 h 1333500"/>
            <a:gd name="connsiteX27" fmla="*/ 123265 w 1201122"/>
            <a:gd name="connsiteY27" fmla="*/ 829235 h 1333500"/>
            <a:gd name="connsiteX28" fmla="*/ 78442 w 1201122"/>
            <a:gd name="connsiteY28" fmla="*/ 818029 h 1333500"/>
            <a:gd name="connsiteX29" fmla="*/ 0 w 1201122"/>
            <a:gd name="connsiteY29" fmla="*/ 784412 h 1333500"/>
            <a:gd name="connsiteX30" fmla="*/ 22412 w 1201122"/>
            <a:gd name="connsiteY30" fmla="*/ 739588 h 1333500"/>
            <a:gd name="connsiteX31" fmla="*/ 67236 w 1201122"/>
            <a:gd name="connsiteY31" fmla="*/ 694765 h 1333500"/>
            <a:gd name="connsiteX32" fmla="*/ 168089 w 1201122"/>
            <a:gd name="connsiteY32" fmla="*/ 661147 h 1333500"/>
            <a:gd name="connsiteX33" fmla="*/ 291353 w 1201122"/>
            <a:gd name="connsiteY33" fmla="*/ 694765 h 1333500"/>
            <a:gd name="connsiteX34" fmla="*/ 313765 w 1201122"/>
            <a:gd name="connsiteY34" fmla="*/ 694765 h 1333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Lst>
          <a:rect l="l" t="t" r="r" b="b"/>
          <a:pathLst>
            <a:path w="1201122" h="1333500">
              <a:moveTo>
                <a:pt x="313765" y="694765"/>
              </a:moveTo>
              <a:cubicBezTo>
                <a:pt x="285750" y="681691"/>
                <a:pt x="389197" y="734515"/>
                <a:pt x="123265" y="616323"/>
              </a:cubicBezTo>
              <a:cubicBezTo>
                <a:pt x="98651" y="605384"/>
                <a:pt x="78442" y="586441"/>
                <a:pt x="56030" y="571500"/>
              </a:cubicBezTo>
              <a:cubicBezTo>
                <a:pt x="44824" y="545353"/>
                <a:pt x="26738" y="521175"/>
                <a:pt x="22412" y="493059"/>
              </a:cubicBezTo>
              <a:cubicBezTo>
                <a:pt x="14710" y="442994"/>
                <a:pt x="48852" y="399952"/>
                <a:pt x="67236" y="358588"/>
              </a:cubicBezTo>
              <a:cubicBezTo>
                <a:pt x="72033" y="347794"/>
                <a:pt x="71063" y="334194"/>
                <a:pt x="78442" y="324970"/>
              </a:cubicBezTo>
              <a:cubicBezTo>
                <a:pt x="97788" y="300787"/>
                <a:pt x="129968" y="298082"/>
                <a:pt x="156883" y="291353"/>
              </a:cubicBezTo>
              <a:cubicBezTo>
                <a:pt x="234965" y="149386"/>
                <a:pt x="233540" y="65707"/>
                <a:pt x="369794" y="11206"/>
              </a:cubicBezTo>
              <a:cubicBezTo>
                <a:pt x="394318" y="1397"/>
                <a:pt x="422089" y="3735"/>
                <a:pt x="448236" y="0"/>
              </a:cubicBezTo>
              <a:cubicBezTo>
                <a:pt x="489324" y="33618"/>
                <a:pt x="541593" y="56990"/>
                <a:pt x="571500" y="100853"/>
              </a:cubicBezTo>
              <a:cubicBezTo>
                <a:pt x="596475" y="137484"/>
                <a:pt x="615901" y="244415"/>
                <a:pt x="627530" y="302559"/>
              </a:cubicBezTo>
              <a:cubicBezTo>
                <a:pt x="739573" y="238534"/>
                <a:pt x="857006" y="161183"/>
                <a:pt x="986118" y="134470"/>
              </a:cubicBezTo>
              <a:cubicBezTo>
                <a:pt x="1026520" y="126111"/>
                <a:pt x="1068295" y="141941"/>
                <a:pt x="1109383" y="145676"/>
              </a:cubicBezTo>
              <a:cubicBezTo>
                <a:pt x="1135530" y="183029"/>
                <a:pt x="1180328" y="212760"/>
                <a:pt x="1187824" y="257735"/>
              </a:cubicBezTo>
              <a:cubicBezTo>
                <a:pt x="1220642" y="454648"/>
                <a:pt x="1196148" y="468833"/>
                <a:pt x="1075765" y="549088"/>
              </a:cubicBezTo>
              <a:cubicBezTo>
                <a:pt x="1061866" y="558354"/>
                <a:pt x="1045883" y="564029"/>
                <a:pt x="1030942" y="571500"/>
              </a:cubicBezTo>
              <a:cubicBezTo>
                <a:pt x="1053354" y="578971"/>
                <a:pt x="1079529" y="579408"/>
                <a:pt x="1098177" y="593912"/>
              </a:cubicBezTo>
              <a:cubicBezTo>
                <a:pt x="1147925" y="632605"/>
                <a:pt x="1162327" y="802603"/>
                <a:pt x="1165412" y="818029"/>
              </a:cubicBezTo>
              <a:cubicBezTo>
                <a:pt x="1161677" y="832970"/>
                <a:pt x="1165717" y="852621"/>
                <a:pt x="1154206" y="862853"/>
              </a:cubicBezTo>
              <a:cubicBezTo>
                <a:pt x="1109509" y="902583"/>
                <a:pt x="959032" y="940146"/>
                <a:pt x="918883" y="952500"/>
              </a:cubicBezTo>
              <a:cubicBezTo>
                <a:pt x="847912" y="937559"/>
                <a:pt x="747893" y="848493"/>
                <a:pt x="705971" y="907676"/>
              </a:cubicBezTo>
              <a:cubicBezTo>
                <a:pt x="645363" y="993240"/>
                <a:pt x="746100" y="1118094"/>
                <a:pt x="728383" y="1221441"/>
              </a:cubicBezTo>
              <a:cubicBezTo>
                <a:pt x="715202" y="1298331"/>
                <a:pt x="560649" y="1321179"/>
                <a:pt x="515471" y="1333500"/>
              </a:cubicBezTo>
              <a:cubicBezTo>
                <a:pt x="463177" y="1326029"/>
                <a:pt x="409186" y="1326267"/>
                <a:pt x="358589" y="1311088"/>
              </a:cubicBezTo>
              <a:cubicBezTo>
                <a:pt x="250794" y="1278750"/>
                <a:pt x="319800" y="1261173"/>
                <a:pt x="257736" y="1187823"/>
              </a:cubicBezTo>
              <a:cubicBezTo>
                <a:pt x="233608" y="1159308"/>
                <a:pt x="194502" y="1147000"/>
                <a:pt x="168089" y="1120588"/>
              </a:cubicBezTo>
              <a:cubicBezTo>
                <a:pt x="141676" y="1094175"/>
                <a:pt x="123265" y="1060823"/>
                <a:pt x="100853" y="1030941"/>
              </a:cubicBezTo>
              <a:cubicBezTo>
                <a:pt x="12508" y="765901"/>
                <a:pt x="96223" y="1099655"/>
                <a:pt x="123265" y="829235"/>
              </a:cubicBezTo>
              <a:cubicBezTo>
                <a:pt x="124797" y="813911"/>
                <a:pt x="92916" y="823292"/>
                <a:pt x="78442" y="818029"/>
              </a:cubicBezTo>
              <a:cubicBezTo>
                <a:pt x="51707" y="808307"/>
                <a:pt x="26147" y="795618"/>
                <a:pt x="0" y="784412"/>
              </a:cubicBezTo>
              <a:cubicBezTo>
                <a:pt x="7471" y="769471"/>
                <a:pt x="12389" y="752952"/>
                <a:pt x="22412" y="739588"/>
              </a:cubicBezTo>
              <a:cubicBezTo>
                <a:pt x="35090" y="722684"/>
                <a:pt x="49655" y="706486"/>
                <a:pt x="67236" y="694765"/>
              </a:cubicBezTo>
              <a:cubicBezTo>
                <a:pt x="92556" y="677885"/>
                <a:pt x="138212" y="668616"/>
                <a:pt x="168089" y="661147"/>
              </a:cubicBezTo>
              <a:cubicBezTo>
                <a:pt x="253611" y="671837"/>
                <a:pt x="240500" y="656626"/>
                <a:pt x="291353" y="694765"/>
              </a:cubicBezTo>
              <a:cubicBezTo>
                <a:pt x="295579" y="697934"/>
                <a:pt x="341780" y="707839"/>
                <a:pt x="313765" y="694765"/>
              </a:cubicBez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15</xdr:col>
      <xdr:colOff>44823</xdr:colOff>
      <xdr:row>32</xdr:row>
      <xdr:rowOff>22411</xdr:rowOff>
    </xdr:from>
    <xdr:to>
      <xdr:col>24</xdr:col>
      <xdr:colOff>156882</xdr:colOff>
      <xdr:row>35</xdr:row>
      <xdr:rowOff>22412</xdr:rowOff>
    </xdr:to>
    <xdr:sp macro="" textlink="">
      <xdr:nvSpPr>
        <xdr:cNvPr id="48" name="Ristkülik 47">
          <a:extLst>
            <a:ext uri="{FF2B5EF4-FFF2-40B4-BE49-F238E27FC236}">
              <a16:creationId xmlns:a16="http://schemas.microsoft.com/office/drawing/2014/main" id="{00000000-0008-0000-1000-000030000000}"/>
            </a:ext>
          </a:extLst>
        </xdr:cNvPr>
        <xdr:cNvSpPr/>
      </xdr:nvSpPr>
      <xdr:spPr>
        <a:xfrm>
          <a:off x="2734235" y="5860676"/>
          <a:ext cx="1725706" cy="5378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17</xdr:col>
      <xdr:colOff>33618</xdr:colOff>
      <xdr:row>27</xdr:row>
      <xdr:rowOff>123265</xdr:rowOff>
    </xdr:from>
    <xdr:to>
      <xdr:col>22</xdr:col>
      <xdr:colOff>145676</xdr:colOff>
      <xdr:row>39</xdr:row>
      <xdr:rowOff>89647</xdr:rowOff>
    </xdr:to>
    <xdr:sp macro="" textlink="">
      <xdr:nvSpPr>
        <xdr:cNvPr id="49" name="Ovaal 48">
          <a:extLst>
            <a:ext uri="{FF2B5EF4-FFF2-40B4-BE49-F238E27FC236}">
              <a16:creationId xmlns:a16="http://schemas.microsoft.com/office/drawing/2014/main" id="{00000000-0008-0000-1000-000031000000}"/>
            </a:ext>
          </a:extLst>
        </xdr:cNvPr>
        <xdr:cNvSpPr/>
      </xdr:nvSpPr>
      <xdr:spPr>
        <a:xfrm>
          <a:off x="3081618" y="5065059"/>
          <a:ext cx="1008529" cy="2117912"/>
        </a:xfrm>
        <a:prstGeom prst="ellipse">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16</xdr:col>
      <xdr:colOff>56029</xdr:colOff>
      <xdr:row>33</xdr:row>
      <xdr:rowOff>11206</xdr:rowOff>
    </xdr:from>
    <xdr:to>
      <xdr:col>23</xdr:col>
      <xdr:colOff>100853</xdr:colOff>
      <xdr:row>34</xdr:row>
      <xdr:rowOff>33618</xdr:rowOff>
    </xdr:to>
    <xdr:sp macro="" textlink="">
      <xdr:nvSpPr>
        <xdr:cNvPr id="50" name="Ovaal 49">
          <a:extLst>
            <a:ext uri="{FF2B5EF4-FFF2-40B4-BE49-F238E27FC236}">
              <a16:creationId xmlns:a16="http://schemas.microsoft.com/office/drawing/2014/main" id="{00000000-0008-0000-1000-000032000000}"/>
            </a:ext>
          </a:extLst>
        </xdr:cNvPr>
        <xdr:cNvSpPr/>
      </xdr:nvSpPr>
      <xdr:spPr>
        <a:xfrm>
          <a:off x="2924735" y="6028765"/>
          <a:ext cx="1299883" cy="201706"/>
        </a:xfrm>
        <a:prstGeom prst="ellipse">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31</xdr:col>
      <xdr:colOff>118524</xdr:colOff>
      <xdr:row>14</xdr:row>
      <xdr:rowOff>28876</xdr:rowOff>
    </xdr:from>
    <xdr:to>
      <xdr:col>37</xdr:col>
      <xdr:colOff>168702</xdr:colOff>
      <xdr:row>20</xdr:row>
      <xdr:rowOff>39649</xdr:rowOff>
    </xdr:to>
    <xdr:sp macro="" textlink="">
      <xdr:nvSpPr>
        <xdr:cNvPr id="55" name="Vabakuju: kujund 54">
          <a:extLst>
            <a:ext uri="{FF2B5EF4-FFF2-40B4-BE49-F238E27FC236}">
              <a16:creationId xmlns:a16="http://schemas.microsoft.com/office/drawing/2014/main" id="{00000000-0008-0000-1000-000037000000}"/>
            </a:ext>
          </a:extLst>
        </xdr:cNvPr>
        <xdr:cNvSpPr/>
      </xdr:nvSpPr>
      <xdr:spPr>
        <a:xfrm>
          <a:off x="5796889" y="2688549"/>
          <a:ext cx="1149217" cy="1109812"/>
        </a:xfrm>
        <a:custGeom>
          <a:avLst/>
          <a:gdLst>
            <a:gd name="connsiteX0" fmla="*/ 112059 w 1400736"/>
            <a:gd name="connsiteY0" fmla="*/ 0 h 1064559"/>
            <a:gd name="connsiteX1" fmla="*/ 1400736 w 1400736"/>
            <a:gd name="connsiteY1" fmla="*/ 0 h 1064559"/>
            <a:gd name="connsiteX2" fmla="*/ 1389530 w 1400736"/>
            <a:gd name="connsiteY2" fmla="*/ 358588 h 1064559"/>
            <a:gd name="connsiteX3" fmla="*/ 930089 w 1400736"/>
            <a:gd name="connsiteY3" fmla="*/ 369794 h 1064559"/>
            <a:gd name="connsiteX4" fmla="*/ 930089 w 1400736"/>
            <a:gd name="connsiteY4" fmla="*/ 1064559 h 1064559"/>
            <a:gd name="connsiteX5" fmla="*/ 470647 w 1400736"/>
            <a:gd name="connsiteY5" fmla="*/ 1064559 h 1064559"/>
            <a:gd name="connsiteX6" fmla="*/ 481853 w 1400736"/>
            <a:gd name="connsiteY6" fmla="*/ 313764 h 1064559"/>
            <a:gd name="connsiteX7" fmla="*/ 0 w 1400736"/>
            <a:gd name="connsiteY7" fmla="*/ 324970 h 1064559"/>
            <a:gd name="connsiteX8" fmla="*/ 112059 w 1400736"/>
            <a:gd name="connsiteY8" fmla="*/ 0 h 1064559"/>
            <a:gd name="connsiteX0" fmla="*/ 0 w 1403367"/>
            <a:gd name="connsiteY0" fmla="*/ 0 h 1071729"/>
            <a:gd name="connsiteX1" fmla="*/ 1403367 w 1403367"/>
            <a:gd name="connsiteY1" fmla="*/ 7170 h 1071729"/>
            <a:gd name="connsiteX2" fmla="*/ 1392161 w 1403367"/>
            <a:gd name="connsiteY2" fmla="*/ 365758 h 1071729"/>
            <a:gd name="connsiteX3" fmla="*/ 932720 w 1403367"/>
            <a:gd name="connsiteY3" fmla="*/ 376964 h 1071729"/>
            <a:gd name="connsiteX4" fmla="*/ 932720 w 1403367"/>
            <a:gd name="connsiteY4" fmla="*/ 1071729 h 1071729"/>
            <a:gd name="connsiteX5" fmla="*/ 473278 w 1403367"/>
            <a:gd name="connsiteY5" fmla="*/ 1071729 h 1071729"/>
            <a:gd name="connsiteX6" fmla="*/ 484484 w 1403367"/>
            <a:gd name="connsiteY6" fmla="*/ 320934 h 1071729"/>
            <a:gd name="connsiteX7" fmla="*/ 2631 w 1403367"/>
            <a:gd name="connsiteY7" fmla="*/ 332140 h 1071729"/>
            <a:gd name="connsiteX8" fmla="*/ 0 w 1403367"/>
            <a:gd name="connsiteY8" fmla="*/ 0 h 1071729"/>
            <a:gd name="connsiteX0" fmla="*/ 0 w 1403367"/>
            <a:gd name="connsiteY0" fmla="*/ 0 h 1071729"/>
            <a:gd name="connsiteX1" fmla="*/ 1403367 w 1403367"/>
            <a:gd name="connsiteY1" fmla="*/ 7170 h 1071729"/>
            <a:gd name="connsiteX2" fmla="*/ 1399329 w 1403367"/>
            <a:gd name="connsiteY2" fmla="*/ 372928 h 1071729"/>
            <a:gd name="connsiteX3" fmla="*/ 932720 w 1403367"/>
            <a:gd name="connsiteY3" fmla="*/ 376964 h 1071729"/>
            <a:gd name="connsiteX4" fmla="*/ 932720 w 1403367"/>
            <a:gd name="connsiteY4" fmla="*/ 1071729 h 1071729"/>
            <a:gd name="connsiteX5" fmla="*/ 473278 w 1403367"/>
            <a:gd name="connsiteY5" fmla="*/ 1071729 h 1071729"/>
            <a:gd name="connsiteX6" fmla="*/ 484484 w 1403367"/>
            <a:gd name="connsiteY6" fmla="*/ 320934 h 1071729"/>
            <a:gd name="connsiteX7" fmla="*/ 2631 w 1403367"/>
            <a:gd name="connsiteY7" fmla="*/ 332140 h 1071729"/>
            <a:gd name="connsiteX8" fmla="*/ 0 w 1403367"/>
            <a:gd name="connsiteY8" fmla="*/ 0 h 1071729"/>
            <a:gd name="connsiteX0" fmla="*/ 0 w 1403367"/>
            <a:gd name="connsiteY0" fmla="*/ 0 h 1071729"/>
            <a:gd name="connsiteX1" fmla="*/ 1403367 w 1403367"/>
            <a:gd name="connsiteY1" fmla="*/ 7170 h 1071729"/>
            <a:gd name="connsiteX2" fmla="*/ 1399329 w 1403367"/>
            <a:gd name="connsiteY2" fmla="*/ 372928 h 1071729"/>
            <a:gd name="connsiteX3" fmla="*/ 925552 w 1403367"/>
            <a:gd name="connsiteY3" fmla="*/ 348283 h 1071729"/>
            <a:gd name="connsiteX4" fmla="*/ 932720 w 1403367"/>
            <a:gd name="connsiteY4" fmla="*/ 1071729 h 1071729"/>
            <a:gd name="connsiteX5" fmla="*/ 473278 w 1403367"/>
            <a:gd name="connsiteY5" fmla="*/ 1071729 h 1071729"/>
            <a:gd name="connsiteX6" fmla="*/ 484484 w 1403367"/>
            <a:gd name="connsiteY6" fmla="*/ 320934 h 1071729"/>
            <a:gd name="connsiteX7" fmla="*/ 2631 w 1403367"/>
            <a:gd name="connsiteY7" fmla="*/ 332140 h 1071729"/>
            <a:gd name="connsiteX8" fmla="*/ 0 w 1403367"/>
            <a:gd name="connsiteY8" fmla="*/ 0 h 1071729"/>
            <a:gd name="connsiteX0" fmla="*/ 0 w 1403367"/>
            <a:gd name="connsiteY0" fmla="*/ 0 h 1071729"/>
            <a:gd name="connsiteX1" fmla="*/ 1403367 w 1403367"/>
            <a:gd name="connsiteY1" fmla="*/ 7170 h 1071729"/>
            <a:gd name="connsiteX2" fmla="*/ 1399329 w 1403367"/>
            <a:gd name="connsiteY2" fmla="*/ 372928 h 1071729"/>
            <a:gd name="connsiteX3" fmla="*/ 925552 w 1403367"/>
            <a:gd name="connsiteY3" fmla="*/ 348283 h 1071729"/>
            <a:gd name="connsiteX4" fmla="*/ 932720 w 1403367"/>
            <a:gd name="connsiteY4" fmla="*/ 1071729 h 1071729"/>
            <a:gd name="connsiteX5" fmla="*/ 473278 w 1403367"/>
            <a:gd name="connsiteY5" fmla="*/ 1071729 h 1071729"/>
            <a:gd name="connsiteX6" fmla="*/ 484484 w 1403367"/>
            <a:gd name="connsiteY6" fmla="*/ 349615 h 1071729"/>
            <a:gd name="connsiteX7" fmla="*/ 2631 w 1403367"/>
            <a:gd name="connsiteY7" fmla="*/ 332140 h 1071729"/>
            <a:gd name="connsiteX8" fmla="*/ 0 w 1403367"/>
            <a:gd name="connsiteY8" fmla="*/ 0 h 1071729"/>
            <a:gd name="connsiteX0" fmla="*/ 4537 w 1407904"/>
            <a:gd name="connsiteY0" fmla="*/ 0 h 1071729"/>
            <a:gd name="connsiteX1" fmla="*/ 1407904 w 1407904"/>
            <a:gd name="connsiteY1" fmla="*/ 7170 h 1071729"/>
            <a:gd name="connsiteX2" fmla="*/ 1403866 w 1407904"/>
            <a:gd name="connsiteY2" fmla="*/ 372928 h 1071729"/>
            <a:gd name="connsiteX3" fmla="*/ 930089 w 1407904"/>
            <a:gd name="connsiteY3" fmla="*/ 348283 h 1071729"/>
            <a:gd name="connsiteX4" fmla="*/ 937257 w 1407904"/>
            <a:gd name="connsiteY4" fmla="*/ 1071729 h 1071729"/>
            <a:gd name="connsiteX5" fmla="*/ 477815 w 1407904"/>
            <a:gd name="connsiteY5" fmla="*/ 1071729 h 1071729"/>
            <a:gd name="connsiteX6" fmla="*/ 489021 w 1407904"/>
            <a:gd name="connsiteY6" fmla="*/ 349615 h 1071729"/>
            <a:gd name="connsiteX7" fmla="*/ 0 w 1407904"/>
            <a:gd name="connsiteY7" fmla="*/ 353650 h 1071729"/>
            <a:gd name="connsiteX8" fmla="*/ 4537 w 1407904"/>
            <a:gd name="connsiteY8" fmla="*/ 0 h 1071729"/>
            <a:gd name="connsiteX0" fmla="*/ 4537 w 1407904"/>
            <a:gd name="connsiteY0" fmla="*/ 0 h 1071729"/>
            <a:gd name="connsiteX1" fmla="*/ 1407904 w 1407904"/>
            <a:gd name="connsiteY1" fmla="*/ 7170 h 1071729"/>
            <a:gd name="connsiteX2" fmla="*/ 1403866 w 1407904"/>
            <a:gd name="connsiteY2" fmla="*/ 351418 h 1071729"/>
            <a:gd name="connsiteX3" fmla="*/ 930089 w 1407904"/>
            <a:gd name="connsiteY3" fmla="*/ 348283 h 1071729"/>
            <a:gd name="connsiteX4" fmla="*/ 937257 w 1407904"/>
            <a:gd name="connsiteY4" fmla="*/ 1071729 h 1071729"/>
            <a:gd name="connsiteX5" fmla="*/ 477815 w 1407904"/>
            <a:gd name="connsiteY5" fmla="*/ 1071729 h 1071729"/>
            <a:gd name="connsiteX6" fmla="*/ 489021 w 1407904"/>
            <a:gd name="connsiteY6" fmla="*/ 349615 h 1071729"/>
            <a:gd name="connsiteX7" fmla="*/ 0 w 1407904"/>
            <a:gd name="connsiteY7" fmla="*/ 353650 h 1071729"/>
            <a:gd name="connsiteX8" fmla="*/ 4537 w 1407904"/>
            <a:gd name="connsiteY8" fmla="*/ 0 h 1071729"/>
            <a:gd name="connsiteX0" fmla="*/ 4537 w 1403866"/>
            <a:gd name="connsiteY0" fmla="*/ 0 h 1071729"/>
            <a:gd name="connsiteX1" fmla="*/ 1114011 w 1403866"/>
            <a:gd name="connsiteY1" fmla="*/ 7170 h 1071729"/>
            <a:gd name="connsiteX2" fmla="*/ 1403866 w 1403866"/>
            <a:gd name="connsiteY2" fmla="*/ 351418 h 1071729"/>
            <a:gd name="connsiteX3" fmla="*/ 930089 w 1403866"/>
            <a:gd name="connsiteY3" fmla="*/ 348283 h 1071729"/>
            <a:gd name="connsiteX4" fmla="*/ 937257 w 1403866"/>
            <a:gd name="connsiteY4" fmla="*/ 1071729 h 1071729"/>
            <a:gd name="connsiteX5" fmla="*/ 477815 w 1403866"/>
            <a:gd name="connsiteY5" fmla="*/ 1071729 h 1071729"/>
            <a:gd name="connsiteX6" fmla="*/ 489021 w 1403866"/>
            <a:gd name="connsiteY6" fmla="*/ 349615 h 1071729"/>
            <a:gd name="connsiteX7" fmla="*/ 0 w 1403866"/>
            <a:gd name="connsiteY7" fmla="*/ 353650 h 1071729"/>
            <a:gd name="connsiteX8" fmla="*/ 4537 w 1403866"/>
            <a:gd name="connsiteY8" fmla="*/ 0 h 1071729"/>
            <a:gd name="connsiteX0" fmla="*/ 4537 w 1124309"/>
            <a:gd name="connsiteY0" fmla="*/ 0 h 1071729"/>
            <a:gd name="connsiteX1" fmla="*/ 1114011 w 1124309"/>
            <a:gd name="connsiteY1" fmla="*/ 7170 h 1071729"/>
            <a:gd name="connsiteX2" fmla="*/ 1124309 w 1124309"/>
            <a:gd name="connsiteY2" fmla="*/ 358589 h 1071729"/>
            <a:gd name="connsiteX3" fmla="*/ 930089 w 1124309"/>
            <a:gd name="connsiteY3" fmla="*/ 348283 h 1071729"/>
            <a:gd name="connsiteX4" fmla="*/ 937257 w 1124309"/>
            <a:gd name="connsiteY4" fmla="*/ 1071729 h 1071729"/>
            <a:gd name="connsiteX5" fmla="*/ 477815 w 1124309"/>
            <a:gd name="connsiteY5" fmla="*/ 1071729 h 1071729"/>
            <a:gd name="connsiteX6" fmla="*/ 489021 w 1124309"/>
            <a:gd name="connsiteY6" fmla="*/ 349615 h 1071729"/>
            <a:gd name="connsiteX7" fmla="*/ 0 w 1124309"/>
            <a:gd name="connsiteY7" fmla="*/ 353650 h 1071729"/>
            <a:gd name="connsiteX8" fmla="*/ 4537 w 1124309"/>
            <a:gd name="connsiteY8" fmla="*/ 0 h 1071729"/>
            <a:gd name="connsiteX0" fmla="*/ 4537 w 1124309"/>
            <a:gd name="connsiteY0" fmla="*/ 0 h 1071729"/>
            <a:gd name="connsiteX1" fmla="*/ 1114011 w 1124309"/>
            <a:gd name="connsiteY1" fmla="*/ 7170 h 1071729"/>
            <a:gd name="connsiteX2" fmla="*/ 1124309 w 1124309"/>
            <a:gd name="connsiteY2" fmla="*/ 358589 h 1071729"/>
            <a:gd name="connsiteX3" fmla="*/ 930089 w 1124309"/>
            <a:gd name="connsiteY3" fmla="*/ 348283 h 1071729"/>
            <a:gd name="connsiteX4" fmla="*/ 937257 w 1124309"/>
            <a:gd name="connsiteY4" fmla="*/ 1071729 h 1071729"/>
            <a:gd name="connsiteX5" fmla="*/ 477815 w 1124309"/>
            <a:gd name="connsiteY5" fmla="*/ 1071729 h 1071729"/>
            <a:gd name="connsiteX6" fmla="*/ 388667 w 1124309"/>
            <a:gd name="connsiteY6" fmla="*/ 356785 h 1071729"/>
            <a:gd name="connsiteX7" fmla="*/ 0 w 1124309"/>
            <a:gd name="connsiteY7" fmla="*/ 353650 h 1071729"/>
            <a:gd name="connsiteX8" fmla="*/ 4537 w 1124309"/>
            <a:gd name="connsiteY8" fmla="*/ 0 h 1071729"/>
            <a:gd name="connsiteX0" fmla="*/ 4537 w 1124309"/>
            <a:gd name="connsiteY0" fmla="*/ 0 h 1071729"/>
            <a:gd name="connsiteX1" fmla="*/ 1114011 w 1124309"/>
            <a:gd name="connsiteY1" fmla="*/ 7170 h 1071729"/>
            <a:gd name="connsiteX2" fmla="*/ 1124309 w 1124309"/>
            <a:gd name="connsiteY2" fmla="*/ 358589 h 1071729"/>
            <a:gd name="connsiteX3" fmla="*/ 930089 w 1124309"/>
            <a:gd name="connsiteY3" fmla="*/ 348283 h 1071729"/>
            <a:gd name="connsiteX4" fmla="*/ 937257 w 1124309"/>
            <a:gd name="connsiteY4" fmla="*/ 1071729 h 1071729"/>
            <a:gd name="connsiteX5" fmla="*/ 391797 w 1124309"/>
            <a:gd name="connsiteY5" fmla="*/ 1071729 h 1071729"/>
            <a:gd name="connsiteX6" fmla="*/ 388667 w 1124309"/>
            <a:gd name="connsiteY6" fmla="*/ 356785 h 1071729"/>
            <a:gd name="connsiteX7" fmla="*/ 0 w 1124309"/>
            <a:gd name="connsiteY7" fmla="*/ 353650 h 1071729"/>
            <a:gd name="connsiteX8" fmla="*/ 4537 w 1124309"/>
            <a:gd name="connsiteY8" fmla="*/ 0 h 1071729"/>
            <a:gd name="connsiteX0" fmla="*/ 4537 w 1124309"/>
            <a:gd name="connsiteY0" fmla="*/ 0 h 1086069"/>
            <a:gd name="connsiteX1" fmla="*/ 1114011 w 1124309"/>
            <a:gd name="connsiteY1" fmla="*/ 7170 h 1086069"/>
            <a:gd name="connsiteX2" fmla="*/ 1124309 w 1124309"/>
            <a:gd name="connsiteY2" fmla="*/ 358589 h 1086069"/>
            <a:gd name="connsiteX3" fmla="*/ 930089 w 1124309"/>
            <a:gd name="connsiteY3" fmla="*/ 348283 h 1086069"/>
            <a:gd name="connsiteX4" fmla="*/ 758054 w 1124309"/>
            <a:gd name="connsiteY4" fmla="*/ 1086069 h 1086069"/>
            <a:gd name="connsiteX5" fmla="*/ 391797 w 1124309"/>
            <a:gd name="connsiteY5" fmla="*/ 1071729 h 1086069"/>
            <a:gd name="connsiteX6" fmla="*/ 388667 w 1124309"/>
            <a:gd name="connsiteY6" fmla="*/ 356785 h 1086069"/>
            <a:gd name="connsiteX7" fmla="*/ 0 w 1124309"/>
            <a:gd name="connsiteY7" fmla="*/ 353650 h 1086069"/>
            <a:gd name="connsiteX8" fmla="*/ 4537 w 1124309"/>
            <a:gd name="connsiteY8" fmla="*/ 0 h 1086069"/>
            <a:gd name="connsiteX0" fmla="*/ 4537 w 1124309"/>
            <a:gd name="connsiteY0" fmla="*/ 0 h 1086069"/>
            <a:gd name="connsiteX1" fmla="*/ 1114011 w 1124309"/>
            <a:gd name="connsiteY1" fmla="*/ 7170 h 1086069"/>
            <a:gd name="connsiteX2" fmla="*/ 1124309 w 1124309"/>
            <a:gd name="connsiteY2" fmla="*/ 358589 h 1086069"/>
            <a:gd name="connsiteX3" fmla="*/ 750886 w 1124309"/>
            <a:gd name="connsiteY3" fmla="*/ 362624 h 1086069"/>
            <a:gd name="connsiteX4" fmla="*/ 758054 w 1124309"/>
            <a:gd name="connsiteY4" fmla="*/ 1086069 h 1086069"/>
            <a:gd name="connsiteX5" fmla="*/ 391797 w 1124309"/>
            <a:gd name="connsiteY5" fmla="*/ 1071729 h 1086069"/>
            <a:gd name="connsiteX6" fmla="*/ 388667 w 1124309"/>
            <a:gd name="connsiteY6" fmla="*/ 356785 h 1086069"/>
            <a:gd name="connsiteX7" fmla="*/ 0 w 1124309"/>
            <a:gd name="connsiteY7" fmla="*/ 353650 h 1086069"/>
            <a:gd name="connsiteX8" fmla="*/ 4537 w 1124309"/>
            <a:gd name="connsiteY8" fmla="*/ 0 h 10860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24309" h="1086069">
              <a:moveTo>
                <a:pt x="4537" y="0"/>
              </a:moveTo>
              <a:lnTo>
                <a:pt x="1114011" y="7170"/>
              </a:lnTo>
              <a:lnTo>
                <a:pt x="1124309" y="358589"/>
              </a:lnTo>
              <a:lnTo>
                <a:pt x="750886" y="362624"/>
              </a:lnTo>
              <a:cubicBezTo>
                <a:pt x="753275" y="603773"/>
                <a:pt x="755665" y="844920"/>
                <a:pt x="758054" y="1086069"/>
              </a:cubicBezTo>
              <a:lnTo>
                <a:pt x="391797" y="1071729"/>
              </a:lnTo>
              <a:cubicBezTo>
                <a:pt x="390754" y="833414"/>
                <a:pt x="389710" y="595100"/>
                <a:pt x="388667" y="356785"/>
              </a:cubicBezTo>
              <a:lnTo>
                <a:pt x="0" y="353650"/>
              </a:lnTo>
              <a:cubicBezTo>
                <a:pt x="1512" y="235767"/>
                <a:pt x="3025" y="117883"/>
                <a:pt x="4537" y="0"/>
              </a:cubicBezTo>
              <a:close/>
            </a:path>
          </a:pathLst>
        </a:custGeom>
        <a:pattFill prst="wdUpDiag">
          <a:fgClr>
            <a:schemeClr val="accent1"/>
          </a:fgClr>
          <a:bgClr>
            <a:schemeClr val="bg1"/>
          </a:bgClr>
        </a:patt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32</xdr:col>
      <xdr:colOff>4579</xdr:colOff>
      <xdr:row>21</xdr:row>
      <xdr:rowOff>175232</xdr:rowOff>
    </xdr:from>
    <xdr:to>
      <xdr:col>36</xdr:col>
      <xdr:colOff>8469</xdr:colOff>
      <xdr:row>26</xdr:row>
      <xdr:rowOff>15976</xdr:rowOff>
    </xdr:to>
    <xdr:sp macro="" textlink="">
      <xdr:nvSpPr>
        <xdr:cNvPr id="61" name="Vabakuju: kujund 60">
          <a:extLst>
            <a:ext uri="{FF2B5EF4-FFF2-40B4-BE49-F238E27FC236}">
              <a16:creationId xmlns:a16="http://schemas.microsoft.com/office/drawing/2014/main" id="{00000000-0008-0000-1000-00003D000000}"/>
            </a:ext>
          </a:extLst>
        </xdr:cNvPr>
        <xdr:cNvSpPr/>
      </xdr:nvSpPr>
      <xdr:spPr>
        <a:xfrm>
          <a:off x="5719579" y="4020951"/>
          <a:ext cx="718265" cy="733713"/>
        </a:xfrm>
        <a:custGeom>
          <a:avLst/>
          <a:gdLst>
            <a:gd name="connsiteX0" fmla="*/ 0 w 740020"/>
            <a:gd name="connsiteY0" fmla="*/ 63540 h 822927"/>
            <a:gd name="connsiteX1" fmla="*/ 197827 w 740020"/>
            <a:gd name="connsiteY1" fmla="*/ 70867 h 822927"/>
            <a:gd name="connsiteX2" fmla="*/ 373674 w 740020"/>
            <a:gd name="connsiteY2" fmla="*/ 437213 h 822927"/>
            <a:gd name="connsiteX3" fmla="*/ 564174 w 740020"/>
            <a:gd name="connsiteY3" fmla="*/ 70867 h 822927"/>
            <a:gd name="connsiteX4" fmla="*/ 740020 w 740020"/>
            <a:gd name="connsiteY4" fmla="*/ 48886 h 822927"/>
            <a:gd name="connsiteX5" fmla="*/ 732693 w 740020"/>
            <a:gd name="connsiteY5" fmla="*/ 781578 h 822927"/>
            <a:gd name="connsiteX6" fmla="*/ 359020 w 740020"/>
            <a:gd name="connsiteY6" fmla="*/ 591078 h 822927"/>
            <a:gd name="connsiteX7" fmla="*/ 7327 w 740020"/>
            <a:gd name="connsiteY7" fmla="*/ 803559 h 822927"/>
            <a:gd name="connsiteX8" fmla="*/ 0 w 740020"/>
            <a:gd name="connsiteY8" fmla="*/ 63540 h 822927"/>
            <a:gd name="connsiteX0" fmla="*/ 0 w 741368"/>
            <a:gd name="connsiteY0" fmla="*/ 35402 h 794789"/>
            <a:gd name="connsiteX1" fmla="*/ 197827 w 741368"/>
            <a:gd name="connsiteY1" fmla="*/ 42729 h 794789"/>
            <a:gd name="connsiteX2" fmla="*/ 373674 w 741368"/>
            <a:gd name="connsiteY2" fmla="*/ 409075 h 794789"/>
            <a:gd name="connsiteX3" fmla="*/ 564174 w 741368"/>
            <a:gd name="connsiteY3" fmla="*/ 42729 h 794789"/>
            <a:gd name="connsiteX4" fmla="*/ 740020 w 741368"/>
            <a:gd name="connsiteY4" fmla="*/ 20748 h 794789"/>
            <a:gd name="connsiteX5" fmla="*/ 732693 w 741368"/>
            <a:gd name="connsiteY5" fmla="*/ 753440 h 794789"/>
            <a:gd name="connsiteX6" fmla="*/ 359020 w 741368"/>
            <a:gd name="connsiteY6" fmla="*/ 562940 h 794789"/>
            <a:gd name="connsiteX7" fmla="*/ 7327 w 741368"/>
            <a:gd name="connsiteY7" fmla="*/ 775421 h 794789"/>
            <a:gd name="connsiteX8" fmla="*/ 0 w 741368"/>
            <a:gd name="connsiteY8" fmla="*/ 35402 h 794789"/>
            <a:gd name="connsiteX0" fmla="*/ 0 w 741155"/>
            <a:gd name="connsiteY0" fmla="*/ 14671 h 774058"/>
            <a:gd name="connsiteX1" fmla="*/ 197827 w 741155"/>
            <a:gd name="connsiteY1" fmla="*/ 21998 h 774058"/>
            <a:gd name="connsiteX2" fmla="*/ 373674 w 741155"/>
            <a:gd name="connsiteY2" fmla="*/ 388344 h 774058"/>
            <a:gd name="connsiteX3" fmla="*/ 564174 w 741155"/>
            <a:gd name="connsiteY3" fmla="*/ 21998 h 774058"/>
            <a:gd name="connsiteX4" fmla="*/ 740020 w 741155"/>
            <a:gd name="connsiteY4" fmla="*/ 17 h 774058"/>
            <a:gd name="connsiteX5" fmla="*/ 732693 w 741155"/>
            <a:gd name="connsiteY5" fmla="*/ 732709 h 774058"/>
            <a:gd name="connsiteX6" fmla="*/ 359020 w 741155"/>
            <a:gd name="connsiteY6" fmla="*/ 542209 h 774058"/>
            <a:gd name="connsiteX7" fmla="*/ 7327 w 741155"/>
            <a:gd name="connsiteY7" fmla="*/ 754690 h 774058"/>
            <a:gd name="connsiteX8" fmla="*/ 0 w 741155"/>
            <a:gd name="connsiteY8" fmla="*/ 14671 h 774058"/>
            <a:gd name="connsiteX0" fmla="*/ 0 w 741155"/>
            <a:gd name="connsiteY0" fmla="*/ 14671 h 755477"/>
            <a:gd name="connsiteX1" fmla="*/ 197827 w 741155"/>
            <a:gd name="connsiteY1" fmla="*/ 21998 h 755477"/>
            <a:gd name="connsiteX2" fmla="*/ 373674 w 741155"/>
            <a:gd name="connsiteY2" fmla="*/ 388344 h 755477"/>
            <a:gd name="connsiteX3" fmla="*/ 564174 w 741155"/>
            <a:gd name="connsiteY3" fmla="*/ 21998 h 755477"/>
            <a:gd name="connsiteX4" fmla="*/ 740020 w 741155"/>
            <a:gd name="connsiteY4" fmla="*/ 17 h 755477"/>
            <a:gd name="connsiteX5" fmla="*/ 732693 w 741155"/>
            <a:gd name="connsiteY5" fmla="*/ 732709 h 755477"/>
            <a:gd name="connsiteX6" fmla="*/ 359020 w 741155"/>
            <a:gd name="connsiteY6" fmla="*/ 542209 h 755477"/>
            <a:gd name="connsiteX7" fmla="*/ 7327 w 741155"/>
            <a:gd name="connsiteY7" fmla="*/ 754690 h 755477"/>
            <a:gd name="connsiteX8" fmla="*/ 0 w 741155"/>
            <a:gd name="connsiteY8" fmla="*/ 14671 h 75547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741155" h="755477">
              <a:moveTo>
                <a:pt x="0" y="14671"/>
              </a:moveTo>
              <a:lnTo>
                <a:pt x="197827" y="21998"/>
              </a:lnTo>
              <a:lnTo>
                <a:pt x="373674" y="388344"/>
              </a:lnTo>
              <a:lnTo>
                <a:pt x="564174" y="21998"/>
              </a:lnTo>
              <a:cubicBezTo>
                <a:pt x="622789" y="14671"/>
                <a:pt x="723282" y="12994"/>
                <a:pt x="740020" y="17"/>
              </a:cubicBezTo>
              <a:cubicBezTo>
                <a:pt x="744336" y="-3330"/>
                <a:pt x="735135" y="488478"/>
                <a:pt x="732693" y="732709"/>
              </a:cubicBezTo>
              <a:lnTo>
                <a:pt x="359020" y="542209"/>
              </a:lnTo>
              <a:cubicBezTo>
                <a:pt x="241789" y="613036"/>
                <a:pt x="6957" y="767836"/>
                <a:pt x="7327" y="754690"/>
              </a:cubicBezTo>
              <a:cubicBezTo>
                <a:pt x="4885" y="508017"/>
                <a:pt x="2442" y="261344"/>
                <a:pt x="0" y="14671"/>
              </a:cubicBezTo>
              <a:close/>
            </a:path>
          </a:pathLst>
        </a:custGeom>
        <a:gradFill flip="none" rotWithShape="1">
          <a:gsLst>
            <a:gs pos="22000">
              <a:schemeClr val="bg1">
                <a:lumMod val="50000"/>
              </a:schemeClr>
            </a:gs>
            <a:gs pos="100000">
              <a:schemeClr val="bg1">
                <a:lumMod val="85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76200</xdr:colOff>
      <xdr:row>3</xdr:row>
      <xdr:rowOff>0</xdr:rowOff>
    </xdr:from>
    <xdr:to>
      <xdr:col>33</xdr:col>
      <xdr:colOff>104775</xdr:colOff>
      <xdr:row>34</xdr:row>
      <xdr:rowOff>171450</xdr:rowOff>
    </xdr:to>
    <xdr:grpSp>
      <xdr:nvGrpSpPr>
        <xdr:cNvPr id="2" name="Group 7">
          <a:extLst>
            <a:ext uri="{FF2B5EF4-FFF2-40B4-BE49-F238E27FC236}">
              <a16:creationId xmlns:a16="http://schemas.microsoft.com/office/drawing/2014/main" id="{00000000-0008-0000-1100-000002000000}"/>
            </a:ext>
          </a:extLst>
        </xdr:cNvPr>
        <xdr:cNvGrpSpPr>
          <a:grpSpLocks/>
        </xdr:cNvGrpSpPr>
      </xdr:nvGrpSpPr>
      <xdr:grpSpPr bwMode="auto">
        <a:xfrm>
          <a:off x="434788" y="636494"/>
          <a:ext cx="5586693" cy="5729568"/>
          <a:chOff x="46" y="93"/>
          <a:chExt cx="635" cy="673"/>
        </a:xfrm>
      </xdr:grpSpPr>
      <xdr:pic>
        <xdr:nvPicPr>
          <xdr:cNvPr id="3" name="Picture 5">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6" y="152"/>
            <a:ext cx="635" cy="614"/>
          </a:xfrm>
          <a:prstGeom prst="rect">
            <a:avLst/>
          </a:prstGeom>
          <a:noFill/>
        </xdr:spPr>
      </xdr:pic>
      <xdr:sp macro="" textlink="">
        <xdr:nvSpPr>
          <xdr:cNvPr id="4" name="Text Box 6">
            <a:extLst>
              <a:ext uri="{FF2B5EF4-FFF2-40B4-BE49-F238E27FC236}">
                <a16:creationId xmlns:a16="http://schemas.microsoft.com/office/drawing/2014/main" id="{00000000-0008-0000-1100-000004000000}"/>
              </a:ext>
            </a:extLst>
          </xdr:cNvPr>
          <xdr:cNvSpPr txBox="1">
            <a:spLocks noChangeArrowheads="1"/>
          </xdr:cNvSpPr>
        </xdr:nvSpPr>
        <xdr:spPr bwMode="auto">
          <a:xfrm>
            <a:off x="211" y="93"/>
            <a:ext cx="316" cy="51"/>
          </a:xfrm>
          <a:prstGeom prst="rect">
            <a:avLst/>
          </a:prstGeom>
          <a:solidFill>
            <a:srgbClr val="FFFFFF"/>
          </a:solidFill>
          <a:ln w="9525">
            <a:noFill/>
            <a:miter lim="800000"/>
            <a:headEnd/>
            <a:tailEnd/>
          </a:ln>
        </xdr:spPr>
        <xdr:txBody>
          <a:bodyPr wrap="none" lIns="27432" tIns="27432" rIns="0" bIns="0" anchor="t" upright="1">
            <a:spAutoFit/>
          </a:bodyPr>
          <a:lstStyle/>
          <a:p>
            <a:pPr algn="l" rtl="0">
              <a:defRPr sz="1000"/>
            </a:pPr>
            <a:r>
              <a:rPr lang="et-EE" sz="1400" b="0" i="0" u="none" strike="noStrike" baseline="0">
                <a:solidFill>
                  <a:srgbClr val="0000FF"/>
                </a:solidFill>
                <a:latin typeface="Arial"/>
                <a:cs typeface="Arial"/>
              </a:rPr>
              <a:t>Pangaautomaat. PIN koodi kontroll</a:t>
            </a:r>
            <a:endParaRPr lang="et-EE" sz="1400" b="0" i="0" u="none" strike="noStrike" baseline="0">
              <a:solidFill>
                <a:srgbClr val="000000"/>
              </a:solidFill>
              <a:latin typeface="Arial"/>
              <a:cs typeface="Arial"/>
            </a:endParaRPr>
          </a:p>
          <a:p>
            <a:pPr algn="l" rtl="0">
              <a:defRPr sz="1000"/>
            </a:pPr>
            <a:r>
              <a:rPr lang="et-EE" sz="1400" b="0" i="0" u="none" strike="noStrike" baseline="0">
                <a:solidFill>
                  <a:srgbClr val="000000"/>
                </a:solidFill>
                <a:latin typeface="Arial"/>
                <a:cs typeface="Arial"/>
              </a:rPr>
              <a:t>Lubatud kolm katset </a:t>
            </a:r>
          </a:p>
        </xdr:txBody>
      </xdr:sp>
    </xdr:grpSp>
    <xdr:clientData/>
  </xdr:twoCellAnchor>
  <xdr:twoCellAnchor>
    <xdr:from>
      <xdr:col>49</xdr:col>
      <xdr:colOff>152400</xdr:colOff>
      <xdr:row>6</xdr:row>
      <xdr:rowOff>104775</xdr:rowOff>
    </xdr:from>
    <xdr:to>
      <xdr:col>57</xdr:col>
      <xdr:colOff>28575</xdr:colOff>
      <xdr:row>8</xdr:row>
      <xdr:rowOff>76200</xdr:rowOff>
    </xdr:to>
    <xdr:sp macro="" textlink="">
      <xdr:nvSpPr>
        <xdr:cNvPr id="5" name="Ristkülik 4">
          <a:extLst>
            <a:ext uri="{FF2B5EF4-FFF2-40B4-BE49-F238E27FC236}">
              <a16:creationId xmlns:a16="http://schemas.microsoft.com/office/drawing/2014/main" id="{00000000-0008-0000-1100-000005000000}"/>
            </a:ext>
          </a:extLst>
        </xdr:cNvPr>
        <xdr:cNvSpPr/>
      </xdr:nvSpPr>
      <xdr:spPr>
        <a:xfrm>
          <a:off x="9020175" y="1285875"/>
          <a:ext cx="1323975" cy="333375"/>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Pangaautomaat</a:t>
          </a:r>
        </a:p>
      </xdr:txBody>
    </xdr:sp>
    <xdr:clientData/>
  </xdr:twoCellAnchor>
  <xdr:twoCellAnchor>
    <xdr:from>
      <xdr:col>41</xdr:col>
      <xdr:colOff>0</xdr:colOff>
      <xdr:row>6</xdr:row>
      <xdr:rowOff>161925</xdr:rowOff>
    </xdr:from>
    <xdr:to>
      <xdr:col>45</xdr:col>
      <xdr:colOff>47625</xdr:colOff>
      <xdr:row>8</xdr:row>
      <xdr:rowOff>57150</xdr:rowOff>
    </xdr:to>
    <xdr:sp macro="" textlink="">
      <xdr:nvSpPr>
        <xdr:cNvPr id="6" name="Ristkülik 5">
          <a:extLst>
            <a:ext uri="{FF2B5EF4-FFF2-40B4-BE49-F238E27FC236}">
              <a16:creationId xmlns:a16="http://schemas.microsoft.com/office/drawing/2014/main" id="{00000000-0008-0000-1100-000006000000}"/>
            </a:ext>
          </a:extLst>
        </xdr:cNvPr>
        <xdr:cNvSpPr/>
      </xdr:nvSpPr>
      <xdr:spPr>
        <a:xfrm>
          <a:off x="7419975" y="1343025"/>
          <a:ext cx="771525" cy="257175"/>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Klient</a:t>
          </a:r>
        </a:p>
      </xdr:txBody>
    </xdr:sp>
    <xdr:clientData/>
  </xdr:twoCellAnchor>
  <xdr:twoCellAnchor>
    <xdr:from>
      <xdr:col>63</xdr:col>
      <xdr:colOff>19050</xdr:colOff>
      <xdr:row>6</xdr:row>
      <xdr:rowOff>152401</xdr:rowOff>
    </xdr:from>
    <xdr:to>
      <xdr:col>68</xdr:col>
      <xdr:colOff>171450</xdr:colOff>
      <xdr:row>8</xdr:row>
      <xdr:rowOff>76201</xdr:rowOff>
    </xdr:to>
    <xdr:sp macro="" textlink="">
      <xdr:nvSpPr>
        <xdr:cNvPr id="7" name="Ristkülik 6">
          <a:extLst>
            <a:ext uri="{FF2B5EF4-FFF2-40B4-BE49-F238E27FC236}">
              <a16:creationId xmlns:a16="http://schemas.microsoft.com/office/drawing/2014/main" id="{00000000-0008-0000-1100-000007000000}"/>
            </a:ext>
          </a:extLst>
        </xdr:cNvPr>
        <xdr:cNvSpPr/>
      </xdr:nvSpPr>
      <xdr:spPr>
        <a:xfrm>
          <a:off x="11420475" y="1333501"/>
          <a:ext cx="1057275" cy="28575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Panga</a:t>
          </a:r>
          <a:r>
            <a:rPr lang="et-EE" sz="1100" baseline="0">
              <a:solidFill>
                <a:schemeClr val="tx1"/>
              </a:solidFill>
            </a:rPr>
            <a:t> IS</a:t>
          </a:r>
          <a:endParaRPr lang="et-EE" sz="1100">
            <a:solidFill>
              <a:schemeClr val="tx1"/>
            </a:solidFill>
          </a:endParaRPr>
        </a:p>
      </xdr:txBody>
    </xdr:sp>
    <xdr:clientData/>
  </xdr:twoCellAnchor>
  <xdr:twoCellAnchor>
    <xdr:from>
      <xdr:col>63</xdr:col>
      <xdr:colOff>57150</xdr:colOff>
      <xdr:row>17</xdr:row>
      <xdr:rowOff>38099</xdr:rowOff>
    </xdr:from>
    <xdr:to>
      <xdr:col>71</xdr:col>
      <xdr:colOff>66675</xdr:colOff>
      <xdr:row>20</xdr:row>
      <xdr:rowOff>76199</xdr:rowOff>
    </xdr:to>
    <xdr:sp macro="" textlink="">
      <xdr:nvSpPr>
        <xdr:cNvPr id="9" name="Ristkülik: ümarnurkne 8">
          <a:extLst>
            <a:ext uri="{FF2B5EF4-FFF2-40B4-BE49-F238E27FC236}">
              <a16:creationId xmlns:a16="http://schemas.microsoft.com/office/drawing/2014/main" id="{00000000-0008-0000-1100-000009000000}"/>
            </a:ext>
          </a:extLst>
        </xdr:cNvPr>
        <xdr:cNvSpPr/>
      </xdr:nvSpPr>
      <xdr:spPr>
        <a:xfrm>
          <a:off x="11458575" y="3209924"/>
          <a:ext cx="1457325" cy="581025"/>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lang="et-EE" sz="1100">
              <a:solidFill>
                <a:schemeClr val="tx1"/>
              </a:solidFill>
            </a:rPr>
            <a:t>Kontrollib</a:t>
          </a:r>
          <a:r>
            <a:rPr lang="et-EE" sz="1100" baseline="0">
              <a:solidFill>
                <a:schemeClr val="tx1"/>
              </a:solidFill>
            </a:rPr>
            <a:t> koodi õigsust</a:t>
          </a:r>
          <a:endParaRPr lang="et-EE" sz="1100">
            <a:solidFill>
              <a:schemeClr val="tx1"/>
            </a:solidFill>
          </a:endParaRPr>
        </a:p>
      </xdr:txBody>
    </xdr:sp>
    <xdr:clientData/>
  </xdr:twoCellAnchor>
  <xdr:twoCellAnchor>
    <xdr:from>
      <xdr:col>50</xdr:col>
      <xdr:colOff>182441</xdr:colOff>
      <xdr:row>39</xdr:row>
      <xdr:rowOff>64477</xdr:rowOff>
    </xdr:from>
    <xdr:to>
      <xdr:col>58</xdr:col>
      <xdr:colOff>125291</xdr:colOff>
      <xdr:row>41</xdr:row>
      <xdr:rowOff>7327</xdr:rowOff>
    </xdr:to>
    <xdr:sp macro="" textlink="">
      <xdr:nvSpPr>
        <xdr:cNvPr id="10" name="Ristkülik: ümarnurkne 9">
          <a:extLst>
            <a:ext uri="{FF2B5EF4-FFF2-40B4-BE49-F238E27FC236}">
              <a16:creationId xmlns:a16="http://schemas.microsoft.com/office/drawing/2014/main" id="{00000000-0008-0000-1100-00000A000000}"/>
            </a:ext>
          </a:extLst>
        </xdr:cNvPr>
        <xdr:cNvSpPr/>
      </xdr:nvSpPr>
      <xdr:spPr>
        <a:xfrm>
          <a:off x="9341095" y="7303477"/>
          <a:ext cx="1408234" cy="309196"/>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solidFill>
              <a:schemeClr val="tx1"/>
            </a:solidFill>
          </a:endParaRPr>
        </a:p>
      </xdr:txBody>
    </xdr:sp>
    <xdr:clientData/>
  </xdr:twoCellAnchor>
  <xdr:twoCellAnchor>
    <xdr:from>
      <xdr:col>50</xdr:col>
      <xdr:colOff>118479</xdr:colOff>
      <xdr:row>32</xdr:row>
      <xdr:rowOff>85725</xdr:rowOff>
    </xdr:from>
    <xdr:to>
      <xdr:col>58</xdr:col>
      <xdr:colOff>89904</xdr:colOff>
      <xdr:row>35</xdr:row>
      <xdr:rowOff>95250</xdr:rowOff>
    </xdr:to>
    <xdr:sp macro="" textlink="">
      <xdr:nvSpPr>
        <xdr:cNvPr id="11" name="Ristkülik: ümarnurkne 10">
          <a:extLst>
            <a:ext uri="{FF2B5EF4-FFF2-40B4-BE49-F238E27FC236}">
              <a16:creationId xmlns:a16="http://schemas.microsoft.com/office/drawing/2014/main" id="{00000000-0008-0000-1100-00000B000000}"/>
            </a:ext>
          </a:extLst>
        </xdr:cNvPr>
        <xdr:cNvSpPr/>
      </xdr:nvSpPr>
      <xdr:spPr>
        <a:xfrm>
          <a:off x="9178845" y="5977286"/>
          <a:ext cx="1421083" cy="553147"/>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square" rtlCol="0" anchor="ctr"/>
        <a:lstStyle/>
        <a:p>
          <a:pPr algn="ctr"/>
          <a:r>
            <a:rPr lang="et-EE" sz="1100">
              <a:solidFill>
                <a:schemeClr val="tx1"/>
              </a:solidFill>
            </a:rPr>
            <a:t>Teade, et katsete arv on</a:t>
          </a:r>
          <a:r>
            <a:rPr lang="et-EE" sz="1100" baseline="0">
              <a:solidFill>
                <a:schemeClr val="tx1"/>
              </a:solidFill>
            </a:rPr>
            <a:t> läbi</a:t>
          </a:r>
          <a:endParaRPr lang="et-EE" sz="1100">
            <a:solidFill>
              <a:schemeClr val="tx1"/>
            </a:solidFill>
          </a:endParaRPr>
        </a:p>
      </xdr:txBody>
    </xdr:sp>
    <xdr:clientData/>
  </xdr:twoCellAnchor>
  <xdr:twoCellAnchor>
    <xdr:from>
      <xdr:col>49</xdr:col>
      <xdr:colOff>63743</xdr:colOff>
      <xdr:row>27</xdr:row>
      <xdr:rowOff>171450</xdr:rowOff>
    </xdr:from>
    <xdr:to>
      <xdr:col>58</xdr:col>
      <xdr:colOff>139943</xdr:colOff>
      <xdr:row>31</xdr:row>
      <xdr:rowOff>19050</xdr:rowOff>
    </xdr:to>
    <xdr:sp macro="" textlink="">
      <xdr:nvSpPr>
        <xdr:cNvPr id="12" name="Ristkülik: ümarnurkne 11">
          <a:extLst>
            <a:ext uri="{FF2B5EF4-FFF2-40B4-BE49-F238E27FC236}">
              <a16:creationId xmlns:a16="http://schemas.microsoft.com/office/drawing/2014/main" id="{00000000-0008-0000-1100-00000C000000}"/>
            </a:ext>
          </a:extLst>
        </xdr:cNvPr>
        <xdr:cNvSpPr/>
      </xdr:nvSpPr>
      <xdr:spPr>
        <a:xfrm>
          <a:off x="9039224" y="5212373"/>
          <a:ext cx="1724757" cy="580292"/>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lang="et-EE" sz="1100">
              <a:solidFill>
                <a:schemeClr val="tx1"/>
              </a:solidFill>
            </a:rPr>
            <a:t>Väljastab veateate,</a:t>
          </a:r>
          <a:r>
            <a:rPr lang="et-EE" sz="1100" baseline="0">
              <a:solidFill>
                <a:schemeClr val="tx1"/>
              </a:solidFill>
            </a:rPr>
            <a:t> pakkudes uut võimalust</a:t>
          </a:r>
          <a:endParaRPr lang="et-EE" sz="1100">
            <a:solidFill>
              <a:schemeClr val="tx1"/>
            </a:solidFill>
          </a:endParaRPr>
        </a:p>
      </xdr:txBody>
    </xdr:sp>
    <xdr:clientData/>
  </xdr:twoCellAnchor>
  <xdr:twoCellAnchor>
    <xdr:from>
      <xdr:col>49</xdr:col>
      <xdr:colOff>142874</xdr:colOff>
      <xdr:row>21</xdr:row>
      <xdr:rowOff>112835</xdr:rowOff>
    </xdr:from>
    <xdr:to>
      <xdr:col>58</xdr:col>
      <xdr:colOff>66674</xdr:colOff>
      <xdr:row>23</xdr:row>
      <xdr:rowOff>103310</xdr:rowOff>
    </xdr:to>
    <xdr:sp macro="" textlink="">
      <xdr:nvSpPr>
        <xdr:cNvPr id="13" name="Ristkülik: ümarnurkne 12">
          <a:extLst>
            <a:ext uri="{FF2B5EF4-FFF2-40B4-BE49-F238E27FC236}">
              <a16:creationId xmlns:a16="http://schemas.microsoft.com/office/drawing/2014/main" id="{00000000-0008-0000-1100-00000D000000}"/>
            </a:ext>
          </a:extLst>
        </xdr:cNvPr>
        <xdr:cNvSpPr/>
      </xdr:nvSpPr>
      <xdr:spPr>
        <a:xfrm>
          <a:off x="9118355" y="4054720"/>
          <a:ext cx="1572357" cy="356821"/>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Katseid = katseid +1</a:t>
          </a:r>
        </a:p>
      </xdr:txBody>
    </xdr:sp>
    <xdr:clientData/>
  </xdr:twoCellAnchor>
  <xdr:twoCellAnchor>
    <xdr:from>
      <xdr:col>50</xdr:col>
      <xdr:colOff>9525</xdr:colOff>
      <xdr:row>17</xdr:row>
      <xdr:rowOff>104775</xdr:rowOff>
    </xdr:from>
    <xdr:to>
      <xdr:col>57</xdr:col>
      <xdr:colOff>133350</xdr:colOff>
      <xdr:row>20</xdr:row>
      <xdr:rowOff>0</xdr:rowOff>
    </xdr:to>
    <xdr:sp macro="" textlink="">
      <xdr:nvSpPr>
        <xdr:cNvPr id="14" name="Ristkülik: ümarnurkne 13">
          <a:extLst>
            <a:ext uri="{FF2B5EF4-FFF2-40B4-BE49-F238E27FC236}">
              <a16:creationId xmlns:a16="http://schemas.microsoft.com/office/drawing/2014/main" id="{00000000-0008-0000-1100-00000E000000}"/>
            </a:ext>
          </a:extLst>
        </xdr:cNvPr>
        <xdr:cNvSpPr/>
      </xdr:nvSpPr>
      <xdr:spPr>
        <a:xfrm>
          <a:off x="9058275" y="3276600"/>
          <a:ext cx="1390650" cy="438150"/>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lang="et-EE" sz="1100">
              <a:solidFill>
                <a:schemeClr val="tx1"/>
              </a:solidFill>
            </a:rPr>
            <a:t>Loeb koodi ja saadab panka</a:t>
          </a:r>
        </a:p>
      </xdr:txBody>
    </xdr:sp>
    <xdr:clientData/>
  </xdr:twoCellAnchor>
  <xdr:twoCellAnchor>
    <xdr:from>
      <xdr:col>48</xdr:col>
      <xdr:colOff>142874</xdr:colOff>
      <xdr:row>14</xdr:row>
      <xdr:rowOff>19050</xdr:rowOff>
    </xdr:from>
    <xdr:to>
      <xdr:col>58</xdr:col>
      <xdr:colOff>38099</xdr:colOff>
      <xdr:row>16</xdr:row>
      <xdr:rowOff>76200</xdr:rowOff>
    </xdr:to>
    <xdr:sp macro="" textlink="">
      <xdr:nvSpPr>
        <xdr:cNvPr id="15" name="Ristkülik: ümarnurkne 14">
          <a:extLst>
            <a:ext uri="{FF2B5EF4-FFF2-40B4-BE49-F238E27FC236}">
              <a16:creationId xmlns:a16="http://schemas.microsoft.com/office/drawing/2014/main" id="{00000000-0008-0000-1100-00000F000000}"/>
            </a:ext>
          </a:extLst>
        </xdr:cNvPr>
        <xdr:cNvSpPr/>
      </xdr:nvSpPr>
      <xdr:spPr>
        <a:xfrm>
          <a:off x="8935182" y="2678723"/>
          <a:ext cx="1726955" cy="423496"/>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Küsib PIN-koodi</a:t>
          </a:r>
        </a:p>
      </xdr:txBody>
    </xdr:sp>
    <xdr:clientData/>
  </xdr:twoCellAnchor>
  <xdr:twoCellAnchor>
    <xdr:from>
      <xdr:col>49</xdr:col>
      <xdr:colOff>116498</xdr:colOff>
      <xdr:row>10</xdr:row>
      <xdr:rowOff>93052</xdr:rowOff>
    </xdr:from>
    <xdr:to>
      <xdr:col>57</xdr:col>
      <xdr:colOff>59348</xdr:colOff>
      <xdr:row>12</xdr:row>
      <xdr:rowOff>74002</xdr:rowOff>
    </xdr:to>
    <xdr:sp macro="" textlink="">
      <xdr:nvSpPr>
        <xdr:cNvPr id="16" name="Ristkülik: ümarnurkne 15">
          <a:extLst>
            <a:ext uri="{FF2B5EF4-FFF2-40B4-BE49-F238E27FC236}">
              <a16:creationId xmlns:a16="http://schemas.microsoft.com/office/drawing/2014/main" id="{00000000-0008-0000-1100-000010000000}"/>
            </a:ext>
          </a:extLst>
        </xdr:cNvPr>
        <xdr:cNvSpPr/>
      </xdr:nvSpPr>
      <xdr:spPr>
        <a:xfrm>
          <a:off x="9091979" y="2020033"/>
          <a:ext cx="1408234" cy="347296"/>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katseid</a:t>
          </a:r>
          <a:r>
            <a:rPr lang="et-EE" sz="1100" baseline="0">
              <a:solidFill>
                <a:schemeClr val="tx1"/>
              </a:solidFill>
            </a:rPr>
            <a:t> = 0</a:t>
          </a:r>
          <a:endParaRPr lang="et-EE" sz="1100">
            <a:solidFill>
              <a:schemeClr val="tx1"/>
            </a:solidFill>
          </a:endParaRPr>
        </a:p>
      </xdr:txBody>
    </xdr:sp>
    <xdr:clientData/>
  </xdr:twoCellAnchor>
  <xdr:twoCellAnchor>
    <xdr:from>
      <xdr:col>39</xdr:col>
      <xdr:colOff>123826</xdr:colOff>
      <xdr:row>14</xdr:row>
      <xdr:rowOff>62279</xdr:rowOff>
    </xdr:from>
    <xdr:to>
      <xdr:col>46</xdr:col>
      <xdr:colOff>19051</xdr:colOff>
      <xdr:row>16</xdr:row>
      <xdr:rowOff>33705</xdr:rowOff>
    </xdr:to>
    <xdr:sp macro="" textlink="">
      <xdr:nvSpPr>
        <xdr:cNvPr id="17" name="Ristkülik: ümarnurkne 16">
          <a:extLst>
            <a:ext uri="{FF2B5EF4-FFF2-40B4-BE49-F238E27FC236}">
              <a16:creationId xmlns:a16="http://schemas.microsoft.com/office/drawing/2014/main" id="{00000000-0008-0000-1100-000011000000}"/>
            </a:ext>
          </a:extLst>
        </xdr:cNvPr>
        <xdr:cNvSpPr/>
      </xdr:nvSpPr>
      <xdr:spPr>
        <a:xfrm>
          <a:off x="7267576" y="2721952"/>
          <a:ext cx="1177437" cy="337772"/>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Sisestab koodi</a:t>
          </a:r>
        </a:p>
      </xdr:txBody>
    </xdr:sp>
    <xdr:clientData/>
  </xdr:twoCellAnchor>
  <xdr:twoCellAnchor>
    <xdr:from>
      <xdr:col>52</xdr:col>
      <xdr:colOff>131885</xdr:colOff>
      <xdr:row>25</xdr:row>
      <xdr:rowOff>38100</xdr:rowOff>
    </xdr:from>
    <xdr:to>
      <xdr:col>55</xdr:col>
      <xdr:colOff>74735</xdr:colOff>
      <xdr:row>26</xdr:row>
      <xdr:rowOff>95250</xdr:rowOff>
    </xdr:to>
    <xdr:sp macro="" textlink="">
      <xdr:nvSpPr>
        <xdr:cNvPr id="18" name="Romb 17">
          <a:extLst>
            <a:ext uri="{FF2B5EF4-FFF2-40B4-BE49-F238E27FC236}">
              <a16:creationId xmlns:a16="http://schemas.microsoft.com/office/drawing/2014/main" id="{00000000-0008-0000-1100-000012000000}"/>
            </a:ext>
          </a:extLst>
        </xdr:cNvPr>
        <xdr:cNvSpPr/>
      </xdr:nvSpPr>
      <xdr:spPr>
        <a:xfrm>
          <a:off x="9656885" y="4712677"/>
          <a:ext cx="492369" cy="240323"/>
        </a:xfrm>
        <a:prstGeom prst="diamond">
          <a:avLst/>
        </a:prstGeom>
        <a:solidFill>
          <a:schemeClr val="accent5">
            <a:lumMod val="60000"/>
            <a:lumOff val="40000"/>
          </a:schemeClr>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65</xdr:col>
      <xdr:colOff>182440</xdr:colOff>
      <xdr:row>21</xdr:row>
      <xdr:rowOff>171450</xdr:rowOff>
    </xdr:from>
    <xdr:to>
      <xdr:col>68</xdr:col>
      <xdr:colOff>123092</xdr:colOff>
      <xdr:row>23</xdr:row>
      <xdr:rowOff>47625</xdr:rowOff>
    </xdr:to>
    <xdr:sp macro="" textlink="">
      <xdr:nvSpPr>
        <xdr:cNvPr id="19" name="Romb 18">
          <a:extLst>
            <a:ext uri="{FF2B5EF4-FFF2-40B4-BE49-F238E27FC236}">
              <a16:creationId xmlns:a16="http://schemas.microsoft.com/office/drawing/2014/main" id="{00000000-0008-0000-1100-000013000000}"/>
            </a:ext>
          </a:extLst>
        </xdr:cNvPr>
        <xdr:cNvSpPr/>
      </xdr:nvSpPr>
      <xdr:spPr>
        <a:xfrm>
          <a:off x="12088690" y="4113335"/>
          <a:ext cx="490171" cy="242521"/>
        </a:xfrm>
        <a:prstGeom prst="diamond">
          <a:avLst/>
        </a:prstGeom>
        <a:solidFill>
          <a:schemeClr val="accent5">
            <a:lumMod val="60000"/>
            <a:lumOff val="40000"/>
          </a:schemeClr>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46</xdr:col>
      <xdr:colOff>104775</xdr:colOff>
      <xdr:row>4</xdr:row>
      <xdr:rowOff>171450</xdr:rowOff>
    </xdr:from>
    <xdr:to>
      <xdr:col>46</xdr:col>
      <xdr:colOff>142875</xdr:colOff>
      <xdr:row>35</xdr:row>
      <xdr:rowOff>85725</xdr:rowOff>
    </xdr:to>
    <xdr:cxnSp macro="">
      <xdr:nvCxnSpPr>
        <xdr:cNvPr id="21" name="Sirgkonnektor 20">
          <a:extLst>
            <a:ext uri="{FF2B5EF4-FFF2-40B4-BE49-F238E27FC236}">
              <a16:creationId xmlns:a16="http://schemas.microsoft.com/office/drawing/2014/main" id="{00000000-0008-0000-1100-000015000000}"/>
            </a:ext>
          </a:extLst>
        </xdr:cNvPr>
        <xdr:cNvCxnSpPr/>
      </xdr:nvCxnSpPr>
      <xdr:spPr>
        <a:xfrm>
          <a:off x="8429625" y="990600"/>
          <a:ext cx="38100" cy="552450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161925</xdr:colOff>
      <xdr:row>5</xdr:row>
      <xdr:rowOff>19050</xdr:rowOff>
    </xdr:from>
    <xdr:to>
      <xdr:col>61</xdr:col>
      <xdr:colOff>19050</xdr:colOff>
      <xdr:row>35</xdr:row>
      <xdr:rowOff>114300</xdr:rowOff>
    </xdr:to>
    <xdr:cxnSp macro="">
      <xdr:nvCxnSpPr>
        <xdr:cNvPr id="22" name="Sirgkonnektor 21">
          <a:extLst>
            <a:ext uri="{FF2B5EF4-FFF2-40B4-BE49-F238E27FC236}">
              <a16:creationId xmlns:a16="http://schemas.microsoft.com/office/drawing/2014/main" id="{00000000-0008-0000-1100-000016000000}"/>
            </a:ext>
          </a:extLst>
        </xdr:cNvPr>
        <xdr:cNvCxnSpPr/>
      </xdr:nvCxnSpPr>
      <xdr:spPr>
        <a:xfrm>
          <a:off x="11020425" y="1019175"/>
          <a:ext cx="38100" cy="552450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87923</xdr:colOff>
      <xdr:row>12</xdr:row>
      <xdr:rowOff>74002</xdr:rowOff>
    </xdr:from>
    <xdr:to>
      <xdr:col>53</xdr:col>
      <xdr:colOff>90487</xdr:colOff>
      <xdr:row>14</xdr:row>
      <xdr:rowOff>19050</xdr:rowOff>
    </xdr:to>
    <xdr:cxnSp macro="">
      <xdr:nvCxnSpPr>
        <xdr:cNvPr id="27" name="Konnektor: nurkne 26">
          <a:extLst>
            <a:ext uri="{FF2B5EF4-FFF2-40B4-BE49-F238E27FC236}">
              <a16:creationId xmlns:a16="http://schemas.microsoft.com/office/drawing/2014/main" id="{00000000-0008-0000-1100-00001B000000}"/>
            </a:ext>
          </a:extLst>
        </xdr:cNvPr>
        <xdr:cNvCxnSpPr>
          <a:stCxn id="16" idx="2"/>
          <a:endCxn id="15" idx="0"/>
        </xdr:cNvCxnSpPr>
      </xdr:nvCxnSpPr>
      <xdr:spPr>
        <a:xfrm rot="16200000" flipH="1">
          <a:off x="9641681" y="2521744"/>
          <a:ext cx="311394" cy="2564"/>
        </a:xfrm>
        <a:prstGeom prst="bentConnector3">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19052</xdr:colOff>
      <xdr:row>15</xdr:row>
      <xdr:rowOff>47624</xdr:rowOff>
    </xdr:from>
    <xdr:to>
      <xdr:col>48</xdr:col>
      <xdr:colOff>142875</xdr:colOff>
      <xdr:row>15</xdr:row>
      <xdr:rowOff>47991</xdr:rowOff>
    </xdr:to>
    <xdr:cxnSp macro="">
      <xdr:nvCxnSpPr>
        <xdr:cNvPr id="32" name="Konnektor: nurkne 31">
          <a:extLst>
            <a:ext uri="{FF2B5EF4-FFF2-40B4-BE49-F238E27FC236}">
              <a16:creationId xmlns:a16="http://schemas.microsoft.com/office/drawing/2014/main" id="{00000000-0008-0000-1100-000020000000}"/>
            </a:ext>
          </a:extLst>
        </xdr:cNvPr>
        <xdr:cNvCxnSpPr>
          <a:stCxn id="15" idx="1"/>
          <a:endCxn id="17" idx="3"/>
        </xdr:cNvCxnSpPr>
      </xdr:nvCxnSpPr>
      <xdr:spPr>
        <a:xfrm rot="10800000" flipV="1">
          <a:off x="8445014" y="2890470"/>
          <a:ext cx="490169" cy="367"/>
        </a:xfrm>
        <a:prstGeom prst="bentConnector3">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163026</xdr:colOff>
      <xdr:row>16</xdr:row>
      <xdr:rowOff>33705</xdr:rowOff>
    </xdr:from>
    <xdr:to>
      <xdr:col>50</xdr:col>
      <xdr:colOff>9525</xdr:colOff>
      <xdr:row>18</xdr:row>
      <xdr:rowOff>143975</xdr:rowOff>
    </xdr:to>
    <xdr:cxnSp macro="">
      <xdr:nvCxnSpPr>
        <xdr:cNvPr id="36" name="Konnektor: nurkne 35">
          <a:extLst>
            <a:ext uri="{FF2B5EF4-FFF2-40B4-BE49-F238E27FC236}">
              <a16:creationId xmlns:a16="http://schemas.microsoft.com/office/drawing/2014/main" id="{00000000-0008-0000-1100-000024000000}"/>
            </a:ext>
          </a:extLst>
        </xdr:cNvPr>
        <xdr:cNvCxnSpPr>
          <a:stCxn id="17" idx="2"/>
          <a:endCxn id="14" idx="1"/>
        </xdr:cNvCxnSpPr>
      </xdr:nvCxnSpPr>
      <xdr:spPr>
        <a:xfrm rot="16200000" flipH="1">
          <a:off x="8273929" y="2642090"/>
          <a:ext cx="476616" cy="1311884"/>
        </a:xfrm>
        <a:prstGeom prst="bentConnector2">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133350</xdr:colOff>
      <xdr:row>18</xdr:row>
      <xdr:rowOff>143975</xdr:rowOff>
    </xdr:from>
    <xdr:to>
      <xdr:col>63</xdr:col>
      <xdr:colOff>57150</xdr:colOff>
      <xdr:row>18</xdr:row>
      <xdr:rowOff>148736</xdr:rowOff>
    </xdr:to>
    <xdr:cxnSp macro="">
      <xdr:nvCxnSpPr>
        <xdr:cNvPr id="38" name="Konnektor: nurkne 37">
          <a:extLst>
            <a:ext uri="{FF2B5EF4-FFF2-40B4-BE49-F238E27FC236}">
              <a16:creationId xmlns:a16="http://schemas.microsoft.com/office/drawing/2014/main" id="{00000000-0008-0000-1100-000026000000}"/>
            </a:ext>
          </a:extLst>
        </xdr:cNvPr>
        <xdr:cNvCxnSpPr>
          <a:stCxn id="14" idx="3"/>
          <a:endCxn id="9" idx="1"/>
        </xdr:cNvCxnSpPr>
      </xdr:nvCxnSpPr>
      <xdr:spPr>
        <a:xfrm>
          <a:off x="10574215" y="3536340"/>
          <a:ext cx="1022839" cy="4761"/>
        </a:xfrm>
        <a:prstGeom prst="bentConnector3">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61180</xdr:colOff>
      <xdr:row>20</xdr:row>
      <xdr:rowOff>76200</xdr:rowOff>
    </xdr:from>
    <xdr:to>
      <xdr:col>67</xdr:col>
      <xdr:colOff>61913</xdr:colOff>
      <xdr:row>21</xdr:row>
      <xdr:rowOff>171451</xdr:rowOff>
    </xdr:to>
    <xdr:cxnSp macro="">
      <xdr:nvCxnSpPr>
        <xdr:cNvPr id="42" name="Konnektor: nurkne 41">
          <a:extLst>
            <a:ext uri="{FF2B5EF4-FFF2-40B4-BE49-F238E27FC236}">
              <a16:creationId xmlns:a16="http://schemas.microsoft.com/office/drawing/2014/main" id="{00000000-0008-0000-1100-00002A000000}"/>
            </a:ext>
          </a:extLst>
        </xdr:cNvPr>
        <xdr:cNvCxnSpPr>
          <a:stCxn id="9" idx="2"/>
          <a:endCxn id="19" idx="0"/>
        </xdr:cNvCxnSpPr>
      </xdr:nvCxnSpPr>
      <xdr:spPr>
        <a:xfrm rot="5400000">
          <a:off x="12194931" y="3973757"/>
          <a:ext cx="278424" cy="733"/>
        </a:xfrm>
        <a:prstGeom prst="bentConnector3">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66674</xdr:colOff>
      <xdr:row>22</xdr:row>
      <xdr:rowOff>108074</xdr:rowOff>
    </xdr:from>
    <xdr:to>
      <xdr:col>65</xdr:col>
      <xdr:colOff>182440</xdr:colOff>
      <xdr:row>22</xdr:row>
      <xdr:rowOff>109539</xdr:rowOff>
    </xdr:to>
    <xdr:cxnSp macro="">
      <xdr:nvCxnSpPr>
        <xdr:cNvPr id="44" name="Konnektor: nurkne 43">
          <a:extLst>
            <a:ext uri="{FF2B5EF4-FFF2-40B4-BE49-F238E27FC236}">
              <a16:creationId xmlns:a16="http://schemas.microsoft.com/office/drawing/2014/main" id="{00000000-0008-0000-1100-00002C000000}"/>
            </a:ext>
          </a:extLst>
        </xdr:cNvPr>
        <xdr:cNvCxnSpPr>
          <a:stCxn id="19" idx="1"/>
          <a:endCxn id="13" idx="3"/>
        </xdr:cNvCxnSpPr>
      </xdr:nvCxnSpPr>
      <xdr:spPr>
        <a:xfrm rot="10800000">
          <a:off x="10690712" y="4233132"/>
          <a:ext cx="1397978" cy="1465"/>
        </a:xfrm>
        <a:prstGeom prst="bentConnector3">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11724</xdr:colOff>
      <xdr:row>23</xdr:row>
      <xdr:rowOff>103310</xdr:rowOff>
    </xdr:from>
    <xdr:to>
      <xdr:col>54</xdr:col>
      <xdr:colOff>13188</xdr:colOff>
      <xdr:row>25</xdr:row>
      <xdr:rowOff>38100</xdr:rowOff>
    </xdr:to>
    <xdr:cxnSp macro="">
      <xdr:nvCxnSpPr>
        <xdr:cNvPr id="46" name="Konnektor: nurkne 45">
          <a:extLst>
            <a:ext uri="{FF2B5EF4-FFF2-40B4-BE49-F238E27FC236}">
              <a16:creationId xmlns:a16="http://schemas.microsoft.com/office/drawing/2014/main" id="{00000000-0008-0000-1100-00002E000000}"/>
            </a:ext>
          </a:extLst>
        </xdr:cNvPr>
        <xdr:cNvCxnSpPr>
          <a:stCxn id="13" idx="2"/>
          <a:endCxn id="18" idx="0"/>
        </xdr:cNvCxnSpPr>
      </xdr:nvCxnSpPr>
      <xdr:spPr>
        <a:xfrm rot="5400000">
          <a:off x="9753234" y="4561377"/>
          <a:ext cx="301136" cy="1464"/>
        </a:xfrm>
        <a:prstGeom prst="bentConnector3">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74735</xdr:colOff>
      <xdr:row>25</xdr:row>
      <xdr:rowOff>157279</xdr:rowOff>
    </xdr:from>
    <xdr:to>
      <xdr:col>58</xdr:col>
      <xdr:colOff>89904</xdr:colOff>
      <xdr:row>33</xdr:row>
      <xdr:rowOff>181092</xdr:rowOff>
    </xdr:to>
    <xdr:cxnSp macro="">
      <xdr:nvCxnSpPr>
        <xdr:cNvPr id="50" name="Konnektor: nurkne 49">
          <a:extLst>
            <a:ext uri="{FF2B5EF4-FFF2-40B4-BE49-F238E27FC236}">
              <a16:creationId xmlns:a16="http://schemas.microsoft.com/office/drawing/2014/main" id="{00000000-0008-0000-1100-000032000000}"/>
            </a:ext>
          </a:extLst>
        </xdr:cNvPr>
        <xdr:cNvCxnSpPr>
          <a:stCxn id="18" idx="3"/>
          <a:endCxn id="11" idx="3"/>
        </xdr:cNvCxnSpPr>
      </xdr:nvCxnSpPr>
      <xdr:spPr>
        <a:xfrm>
          <a:off x="10041137" y="4780389"/>
          <a:ext cx="558791" cy="1473471"/>
        </a:xfrm>
        <a:prstGeom prst="bentConnector3">
          <a:avLst>
            <a:gd name="adj1" fmla="val 140910"/>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153867</xdr:colOff>
      <xdr:row>23</xdr:row>
      <xdr:rowOff>47624</xdr:rowOff>
    </xdr:from>
    <xdr:to>
      <xdr:col>67</xdr:col>
      <xdr:colOff>61181</xdr:colOff>
      <xdr:row>39</xdr:row>
      <xdr:rowOff>64476</xdr:rowOff>
    </xdr:to>
    <xdr:cxnSp macro="">
      <xdr:nvCxnSpPr>
        <xdr:cNvPr id="57" name="Konnektor: nurkne 56">
          <a:extLst>
            <a:ext uri="{FF2B5EF4-FFF2-40B4-BE49-F238E27FC236}">
              <a16:creationId xmlns:a16="http://schemas.microsoft.com/office/drawing/2014/main" id="{00000000-0008-0000-1100-000039000000}"/>
            </a:ext>
          </a:extLst>
        </xdr:cNvPr>
        <xdr:cNvCxnSpPr>
          <a:stCxn id="19" idx="2"/>
          <a:endCxn id="10" idx="0"/>
        </xdr:cNvCxnSpPr>
      </xdr:nvCxnSpPr>
      <xdr:spPr>
        <a:xfrm rot="5400000">
          <a:off x="9715684" y="4685384"/>
          <a:ext cx="2947621" cy="2288564"/>
        </a:xfrm>
        <a:prstGeom prst="bentConnector3">
          <a:avLst>
            <a:gd name="adj1" fmla="val 9151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10258</xdr:colOff>
      <xdr:row>26</xdr:row>
      <xdr:rowOff>95250</xdr:rowOff>
    </xdr:from>
    <xdr:to>
      <xdr:col>54</xdr:col>
      <xdr:colOff>11725</xdr:colOff>
      <xdr:row>27</xdr:row>
      <xdr:rowOff>171450</xdr:rowOff>
    </xdr:to>
    <xdr:cxnSp macro="">
      <xdr:nvCxnSpPr>
        <xdr:cNvPr id="60" name="Konnektor: nurkne 59">
          <a:extLst>
            <a:ext uri="{FF2B5EF4-FFF2-40B4-BE49-F238E27FC236}">
              <a16:creationId xmlns:a16="http://schemas.microsoft.com/office/drawing/2014/main" id="{00000000-0008-0000-1100-00003C000000}"/>
            </a:ext>
          </a:extLst>
        </xdr:cNvPr>
        <xdr:cNvCxnSpPr>
          <a:stCxn id="18" idx="2"/>
          <a:endCxn id="12" idx="0"/>
        </xdr:cNvCxnSpPr>
      </xdr:nvCxnSpPr>
      <xdr:spPr>
        <a:xfrm rot="5400000">
          <a:off x="9772651" y="5081953"/>
          <a:ext cx="259373" cy="1467"/>
        </a:xfrm>
        <a:prstGeom prst="bentConnector3">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123826</xdr:colOff>
      <xdr:row>15</xdr:row>
      <xdr:rowOff>47992</xdr:rowOff>
    </xdr:from>
    <xdr:to>
      <xdr:col>49</xdr:col>
      <xdr:colOff>63743</xdr:colOff>
      <xdr:row>29</xdr:row>
      <xdr:rowOff>95251</xdr:rowOff>
    </xdr:to>
    <xdr:cxnSp macro="">
      <xdr:nvCxnSpPr>
        <xdr:cNvPr id="62" name="Konnektor: nurkne 61">
          <a:extLst>
            <a:ext uri="{FF2B5EF4-FFF2-40B4-BE49-F238E27FC236}">
              <a16:creationId xmlns:a16="http://schemas.microsoft.com/office/drawing/2014/main" id="{00000000-0008-0000-1100-00003E000000}"/>
            </a:ext>
          </a:extLst>
        </xdr:cNvPr>
        <xdr:cNvCxnSpPr>
          <a:stCxn id="12" idx="1"/>
          <a:endCxn id="17" idx="1"/>
        </xdr:cNvCxnSpPr>
      </xdr:nvCxnSpPr>
      <xdr:spPr>
        <a:xfrm rot="10800000">
          <a:off x="7116297" y="2838257"/>
          <a:ext cx="1732858" cy="2557376"/>
        </a:xfrm>
        <a:prstGeom prst="bentConnector3">
          <a:avLst>
            <a:gd name="adj1" fmla="val 113192"/>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24849</xdr:colOff>
      <xdr:row>8</xdr:row>
      <xdr:rowOff>115956</xdr:rowOff>
    </xdr:from>
    <xdr:to>
      <xdr:col>53</xdr:col>
      <xdr:colOff>149088</xdr:colOff>
      <xdr:row>9</xdr:row>
      <xdr:rowOff>57978</xdr:rowOff>
    </xdr:to>
    <xdr:sp macro="" textlink="">
      <xdr:nvSpPr>
        <xdr:cNvPr id="63" name="Ovaal 62">
          <a:extLst>
            <a:ext uri="{FF2B5EF4-FFF2-40B4-BE49-F238E27FC236}">
              <a16:creationId xmlns:a16="http://schemas.microsoft.com/office/drawing/2014/main" id="{00000000-0008-0000-1100-00003F000000}"/>
            </a:ext>
          </a:extLst>
        </xdr:cNvPr>
        <xdr:cNvSpPr/>
      </xdr:nvSpPr>
      <xdr:spPr>
        <a:xfrm>
          <a:off x="9682371" y="1664804"/>
          <a:ext cx="124239" cy="124239"/>
        </a:xfrm>
        <a:prstGeom prst="ellipse">
          <a:avLst/>
        </a:prstGeom>
        <a:solidFill>
          <a:schemeClr val="tx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53</xdr:col>
      <xdr:colOff>86969</xdr:colOff>
      <xdr:row>9</xdr:row>
      <xdr:rowOff>57978</xdr:rowOff>
    </xdr:from>
    <xdr:to>
      <xdr:col>53</xdr:col>
      <xdr:colOff>87923</xdr:colOff>
      <xdr:row>10</xdr:row>
      <xdr:rowOff>93052</xdr:rowOff>
    </xdr:to>
    <xdr:cxnSp macro="">
      <xdr:nvCxnSpPr>
        <xdr:cNvPr id="65" name="Konnektor: nurkne 64">
          <a:extLst>
            <a:ext uri="{FF2B5EF4-FFF2-40B4-BE49-F238E27FC236}">
              <a16:creationId xmlns:a16="http://schemas.microsoft.com/office/drawing/2014/main" id="{00000000-0008-0000-1100-000041000000}"/>
            </a:ext>
          </a:extLst>
        </xdr:cNvPr>
        <xdr:cNvCxnSpPr>
          <a:stCxn id="63" idx="4"/>
          <a:endCxn id="16" idx="0"/>
        </xdr:cNvCxnSpPr>
      </xdr:nvCxnSpPr>
      <xdr:spPr>
        <a:xfrm rot="16200000" flipH="1">
          <a:off x="9636322" y="1897212"/>
          <a:ext cx="217292" cy="954"/>
        </a:xfrm>
        <a:prstGeom prst="bentConnector3">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30163</xdr:colOff>
      <xdr:row>36</xdr:row>
      <xdr:rowOff>92927</xdr:rowOff>
    </xdr:from>
    <xdr:to>
      <xdr:col>55</xdr:col>
      <xdr:colOff>1211</xdr:colOff>
      <xdr:row>37</xdr:row>
      <xdr:rowOff>64442</xdr:rowOff>
    </xdr:to>
    <xdr:sp macro="" textlink="">
      <xdr:nvSpPr>
        <xdr:cNvPr id="67" name="Ovaal 66">
          <a:extLst>
            <a:ext uri="{FF2B5EF4-FFF2-40B4-BE49-F238E27FC236}">
              <a16:creationId xmlns:a16="http://schemas.microsoft.com/office/drawing/2014/main" id="{00000000-0008-0000-1100-000043000000}"/>
            </a:ext>
          </a:extLst>
        </xdr:cNvPr>
        <xdr:cNvSpPr/>
      </xdr:nvSpPr>
      <xdr:spPr>
        <a:xfrm>
          <a:off x="9815358" y="6709317"/>
          <a:ext cx="152255" cy="152723"/>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54</xdr:col>
      <xdr:colOff>60909</xdr:colOff>
      <xdr:row>36</xdr:row>
      <xdr:rowOff>123674</xdr:rowOff>
    </xdr:from>
    <xdr:to>
      <xdr:col>54</xdr:col>
      <xdr:colOff>156638</xdr:colOff>
      <xdr:row>37</xdr:row>
      <xdr:rowOff>38663</xdr:rowOff>
    </xdr:to>
    <xdr:sp macro="" textlink="">
      <xdr:nvSpPr>
        <xdr:cNvPr id="68" name="Ovaal 67">
          <a:extLst>
            <a:ext uri="{FF2B5EF4-FFF2-40B4-BE49-F238E27FC236}">
              <a16:creationId xmlns:a16="http://schemas.microsoft.com/office/drawing/2014/main" id="{00000000-0008-0000-1100-000044000000}"/>
            </a:ext>
          </a:extLst>
        </xdr:cNvPr>
        <xdr:cNvSpPr/>
      </xdr:nvSpPr>
      <xdr:spPr>
        <a:xfrm>
          <a:off x="9846104" y="6740064"/>
          <a:ext cx="95729" cy="96197"/>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54</xdr:col>
      <xdr:colOff>104191</xdr:colOff>
      <xdr:row>35</xdr:row>
      <xdr:rowOff>95250</xdr:rowOff>
    </xdr:from>
    <xdr:to>
      <xdr:col>54</xdr:col>
      <xdr:colOff>106290</xdr:colOff>
      <xdr:row>36</xdr:row>
      <xdr:rowOff>92927</xdr:rowOff>
    </xdr:to>
    <xdr:cxnSp macro="">
      <xdr:nvCxnSpPr>
        <xdr:cNvPr id="70" name="Konnektor: nurkne 69">
          <a:extLst>
            <a:ext uri="{FF2B5EF4-FFF2-40B4-BE49-F238E27FC236}">
              <a16:creationId xmlns:a16="http://schemas.microsoft.com/office/drawing/2014/main" id="{00000000-0008-0000-1100-000046000000}"/>
            </a:ext>
          </a:extLst>
        </xdr:cNvPr>
        <xdr:cNvCxnSpPr>
          <a:stCxn id="11" idx="2"/>
          <a:endCxn id="67" idx="0"/>
        </xdr:cNvCxnSpPr>
      </xdr:nvCxnSpPr>
      <xdr:spPr>
        <a:xfrm rot="16200000" flipH="1">
          <a:off x="9800994" y="6618825"/>
          <a:ext cx="178884" cy="2099"/>
        </a:xfrm>
        <a:prstGeom prst="bentConnector3">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22412</xdr:colOff>
      <xdr:row>21</xdr:row>
      <xdr:rowOff>11206</xdr:rowOff>
    </xdr:from>
    <xdr:to>
      <xdr:col>66</xdr:col>
      <xdr:colOff>67235</xdr:colOff>
      <xdr:row>22</xdr:row>
      <xdr:rowOff>67235</xdr:rowOff>
    </xdr:to>
    <xdr:sp macro="" textlink="">
      <xdr:nvSpPr>
        <xdr:cNvPr id="71" name="TextBox 70">
          <a:extLst>
            <a:ext uri="{FF2B5EF4-FFF2-40B4-BE49-F238E27FC236}">
              <a16:creationId xmlns:a16="http://schemas.microsoft.com/office/drawing/2014/main" id="{00000000-0008-0000-1100-000047000000}"/>
            </a:ext>
          </a:extLst>
        </xdr:cNvPr>
        <xdr:cNvSpPr txBox="1"/>
      </xdr:nvSpPr>
      <xdr:spPr>
        <a:xfrm>
          <a:off x="11317941" y="3877235"/>
          <a:ext cx="582706" cy="23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t-EE" sz="1100"/>
            <a:t>vale</a:t>
          </a:r>
        </a:p>
      </xdr:txBody>
    </xdr:sp>
    <xdr:clientData/>
  </xdr:twoCellAnchor>
  <xdr:twoCellAnchor>
    <xdr:from>
      <xdr:col>67</xdr:col>
      <xdr:colOff>156882</xdr:colOff>
      <xdr:row>24</xdr:row>
      <xdr:rowOff>112059</xdr:rowOff>
    </xdr:from>
    <xdr:to>
      <xdr:col>71</xdr:col>
      <xdr:colOff>123265</xdr:colOff>
      <xdr:row>26</xdr:row>
      <xdr:rowOff>33618</xdr:rowOff>
    </xdr:to>
    <xdr:sp macro="" textlink="">
      <xdr:nvSpPr>
        <xdr:cNvPr id="72" name="TextBox 71">
          <a:extLst>
            <a:ext uri="{FF2B5EF4-FFF2-40B4-BE49-F238E27FC236}">
              <a16:creationId xmlns:a16="http://schemas.microsoft.com/office/drawing/2014/main" id="{00000000-0008-0000-1100-000048000000}"/>
            </a:ext>
          </a:extLst>
        </xdr:cNvPr>
        <xdr:cNvSpPr txBox="1"/>
      </xdr:nvSpPr>
      <xdr:spPr>
        <a:xfrm>
          <a:off x="12169588" y="4515971"/>
          <a:ext cx="683559"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t-EE" sz="1100"/>
            <a:t>õige</a:t>
          </a:r>
        </a:p>
      </xdr:txBody>
    </xdr:sp>
    <xdr:clientData/>
  </xdr:twoCellAnchor>
  <xdr:twoCellAnchor>
    <xdr:from>
      <xdr:col>55</xdr:col>
      <xdr:colOff>44824</xdr:colOff>
      <xdr:row>24</xdr:row>
      <xdr:rowOff>112059</xdr:rowOff>
    </xdr:from>
    <xdr:to>
      <xdr:col>60</xdr:col>
      <xdr:colOff>44824</xdr:colOff>
      <xdr:row>25</xdr:row>
      <xdr:rowOff>134470</xdr:rowOff>
    </xdr:to>
    <xdr:sp macro="" textlink="">
      <xdr:nvSpPr>
        <xdr:cNvPr id="73" name="TextBox 72">
          <a:extLst>
            <a:ext uri="{FF2B5EF4-FFF2-40B4-BE49-F238E27FC236}">
              <a16:creationId xmlns:a16="http://schemas.microsoft.com/office/drawing/2014/main" id="{00000000-0008-0000-1100-000049000000}"/>
            </a:ext>
          </a:extLst>
        </xdr:cNvPr>
        <xdr:cNvSpPr txBox="1"/>
      </xdr:nvSpPr>
      <xdr:spPr>
        <a:xfrm>
          <a:off x="9906000" y="4515971"/>
          <a:ext cx="896471" cy="201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t-EE" sz="1100"/>
            <a:t>katseid</a:t>
          </a:r>
          <a:r>
            <a:rPr lang="et-EE" sz="1100" baseline="0"/>
            <a:t> = 3</a:t>
          </a:r>
          <a:endParaRPr lang="et-EE" sz="1100"/>
        </a:p>
      </xdr:txBody>
    </xdr:sp>
    <xdr:clientData/>
  </xdr:twoCellAnchor>
  <xdr:twoCellAnchor>
    <xdr:from>
      <xdr:col>49</xdr:col>
      <xdr:colOff>51547</xdr:colOff>
      <xdr:row>26</xdr:row>
      <xdr:rowOff>85165</xdr:rowOff>
    </xdr:from>
    <xdr:to>
      <xdr:col>54</xdr:col>
      <xdr:colOff>51548</xdr:colOff>
      <xdr:row>27</xdr:row>
      <xdr:rowOff>107576</xdr:rowOff>
    </xdr:to>
    <xdr:sp macro="" textlink="">
      <xdr:nvSpPr>
        <xdr:cNvPr id="74" name="TextBox 73">
          <a:extLst>
            <a:ext uri="{FF2B5EF4-FFF2-40B4-BE49-F238E27FC236}">
              <a16:creationId xmlns:a16="http://schemas.microsoft.com/office/drawing/2014/main" id="{00000000-0008-0000-1100-00004A000000}"/>
            </a:ext>
          </a:extLst>
        </xdr:cNvPr>
        <xdr:cNvSpPr txBox="1"/>
      </xdr:nvSpPr>
      <xdr:spPr>
        <a:xfrm>
          <a:off x="8836959" y="4847665"/>
          <a:ext cx="896471" cy="201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t-EE" sz="1100"/>
            <a:t>katseid</a:t>
          </a:r>
          <a:r>
            <a:rPr lang="et-EE" sz="1100" baseline="0"/>
            <a:t> &lt; 3</a:t>
          </a:r>
          <a:endParaRPr lang="et-EE" sz="1100"/>
        </a:p>
      </xdr:txBody>
    </xdr:sp>
    <xdr:clientData/>
  </xdr:twoCellAnchor>
  <xdr:twoCellAnchor>
    <xdr:from>
      <xdr:col>44</xdr:col>
      <xdr:colOff>100853</xdr:colOff>
      <xdr:row>1</xdr:row>
      <xdr:rowOff>112059</xdr:rowOff>
    </xdr:from>
    <xdr:to>
      <xdr:col>66</xdr:col>
      <xdr:colOff>78440</xdr:colOff>
      <xdr:row>4</xdr:row>
      <xdr:rowOff>112059</xdr:rowOff>
    </xdr:to>
    <xdr:sp macro="" textlink="">
      <xdr:nvSpPr>
        <xdr:cNvPr id="75" name="TextBox 74">
          <a:extLst>
            <a:ext uri="{FF2B5EF4-FFF2-40B4-BE49-F238E27FC236}">
              <a16:creationId xmlns:a16="http://schemas.microsoft.com/office/drawing/2014/main" id="{00000000-0008-0000-1100-00004B000000}"/>
            </a:ext>
          </a:extLst>
        </xdr:cNvPr>
        <xdr:cNvSpPr txBox="1"/>
      </xdr:nvSpPr>
      <xdr:spPr>
        <a:xfrm>
          <a:off x="7989794" y="392206"/>
          <a:ext cx="3922058"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t-EE" sz="1400">
              <a:solidFill>
                <a:schemeClr val="tx2"/>
              </a:solidFill>
            </a:rPr>
            <a:t>Pangaautomaat. PIN</a:t>
          </a:r>
          <a:r>
            <a:rPr lang="et-EE" sz="1400" baseline="0">
              <a:solidFill>
                <a:schemeClr val="tx2"/>
              </a:solidFill>
            </a:rPr>
            <a:t> koodi kontroll</a:t>
          </a:r>
        </a:p>
        <a:p>
          <a:r>
            <a:rPr lang="et-EE" sz="1400" baseline="0"/>
            <a:t>Lubatud kolm katset</a:t>
          </a:r>
          <a:endParaRPr lang="et-EE" sz="14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10</xdr:col>
      <xdr:colOff>47625</xdr:colOff>
      <xdr:row>0</xdr:row>
      <xdr:rowOff>123825</xdr:rowOff>
    </xdr:from>
    <xdr:to>
      <xdr:col>16</xdr:col>
      <xdr:colOff>485775</xdr:colOff>
      <xdr:row>13</xdr:row>
      <xdr:rowOff>28575</xdr:rowOff>
    </xdr:to>
    <xdr:pic>
      <xdr:nvPicPr>
        <xdr:cNvPr id="2" name="Picture 9">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467350" y="123825"/>
          <a:ext cx="4095750" cy="219075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2</xdr:col>
          <xdr:colOff>0</xdr:colOff>
          <xdr:row>5</xdr:row>
          <xdr:rowOff>106680</xdr:rowOff>
        </xdr:from>
        <xdr:to>
          <xdr:col>4</xdr:col>
          <xdr:colOff>190500</xdr:colOff>
          <xdr:row>8</xdr:row>
          <xdr:rowOff>68580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1200-00000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xdr:row>
          <xdr:rowOff>76200</xdr:rowOff>
        </xdr:from>
        <xdr:to>
          <xdr:col>5</xdr:col>
          <xdr:colOff>190500</xdr:colOff>
          <xdr:row>19</xdr:row>
          <xdr:rowOff>0</xdr:rowOff>
        </xdr:to>
        <xdr:sp macro="" textlink="">
          <xdr:nvSpPr>
            <xdr:cNvPr id="3074" name="Object 2" hidden="1">
              <a:extLst>
                <a:ext uri="{63B3BB69-23CF-44E3-9099-C40C66FF867C}">
                  <a14:compatExt spid="_x0000_s3074"/>
                </a:ext>
                <a:ext uri="{FF2B5EF4-FFF2-40B4-BE49-F238E27FC236}">
                  <a16:creationId xmlns:a16="http://schemas.microsoft.com/office/drawing/2014/main" id="{00000000-0008-0000-1200-00000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xdr:row>
          <xdr:rowOff>60960</xdr:rowOff>
        </xdr:from>
        <xdr:to>
          <xdr:col>3</xdr:col>
          <xdr:colOff>22860</xdr:colOff>
          <xdr:row>13</xdr:row>
          <xdr:rowOff>0</xdr:rowOff>
        </xdr:to>
        <xdr:sp macro="" textlink="">
          <xdr:nvSpPr>
            <xdr:cNvPr id="3075" name="Object 3" hidden="1">
              <a:extLst>
                <a:ext uri="{63B3BB69-23CF-44E3-9099-C40C66FF867C}">
                  <a14:compatExt spid="_x0000_s3075"/>
                </a:ext>
                <a:ext uri="{FF2B5EF4-FFF2-40B4-BE49-F238E27FC236}">
                  <a16:creationId xmlns:a16="http://schemas.microsoft.com/office/drawing/2014/main" id="{00000000-0008-0000-1200-00000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22860</xdr:colOff>
          <xdr:row>22</xdr:row>
          <xdr:rowOff>22860</xdr:rowOff>
        </xdr:from>
        <xdr:to>
          <xdr:col>5</xdr:col>
          <xdr:colOff>464820</xdr:colOff>
          <xdr:row>27</xdr:row>
          <xdr:rowOff>30480</xdr:rowOff>
        </xdr:to>
        <xdr:sp macro="" textlink="">
          <xdr:nvSpPr>
            <xdr:cNvPr id="3076" name="Object 4" hidden="1">
              <a:extLst>
                <a:ext uri="{63B3BB69-23CF-44E3-9099-C40C66FF867C}">
                  <a14:compatExt spid="_x0000_s3076"/>
                </a:ext>
                <a:ext uri="{FF2B5EF4-FFF2-40B4-BE49-F238E27FC236}">
                  <a16:creationId xmlns:a16="http://schemas.microsoft.com/office/drawing/2014/main" id="{00000000-0008-0000-1200-0000040C0000}"/>
                </a:ext>
              </a:extLst>
            </xdr:cNvPr>
            <xdr:cNvSpPr/>
          </xdr:nvSpPr>
          <xdr:spPr bwMode="auto">
            <a:xfrm>
              <a:off x="0" y="0"/>
              <a:ext cx="0" cy="0"/>
            </a:xfrm>
            <a:prstGeom prst="rect">
              <a:avLst/>
            </a:prstGeom>
            <a:solidFill>
              <a:srgbClr val="FFFFFF" mc:Ignorable="a14" a14:legacySpreadsheetColorIndex="9"/>
            </a:solidFill>
          </xdr:spPr>
        </xdr:sp>
        <xdr:clientData/>
      </xdr:twoCellAnchor>
    </mc:Choice>
    <mc:Fallback/>
  </mc:AlternateContent>
  <xdr:oneCellAnchor>
    <xdr:from>
      <xdr:col>5</xdr:col>
      <xdr:colOff>576262</xdr:colOff>
      <xdr:row>5</xdr:row>
      <xdr:rowOff>157162</xdr:rowOff>
    </xdr:from>
    <xdr:ext cx="1417568" cy="361189"/>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3233737" y="1147762"/>
              <a:ext cx="1417568" cy="36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t-EE" sz="1100" b="0" i="1">
                            <a:latin typeface="Cambria Math" panose="02040503050406030204" pitchFamily="18" charset="0"/>
                          </a:rPr>
                        </m:ctrlPr>
                      </m:sSubPr>
                      <m:e>
                        <m:r>
                          <a:rPr lang="et-EE" sz="1100" b="0" i="1">
                            <a:latin typeface="Cambria Math" panose="02040503050406030204" pitchFamily="18" charset="0"/>
                          </a:rPr>
                          <m:t>𝑥</m:t>
                        </m:r>
                      </m:e>
                      <m:sub>
                        <m:r>
                          <a:rPr lang="et-EE" sz="1100" b="0" i="1">
                            <a:latin typeface="Cambria Math" panose="02040503050406030204" pitchFamily="18" charset="0"/>
                          </a:rPr>
                          <m:t>1,2</m:t>
                        </m:r>
                      </m:sub>
                    </m:sSub>
                    <m:r>
                      <a:rPr lang="et-EE" sz="1100" b="0" i="1">
                        <a:latin typeface="Cambria Math" panose="02040503050406030204" pitchFamily="18" charset="0"/>
                      </a:rPr>
                      <m:t>=</m:t>
                    </m:r>
                    <m:f>
                      <m:fPr>
                        <m:ctrlPr>
                          <a:rPr lang="et-EE" sz="1100" b="0" i="1">
                            <a:latin typeface="Cambria Math" panose="02040503050406030204" pitchFamily="18" charset="0"/>
                          </a:rPr>
                        </m:ctrlPr>
                      </m:fPr>
                      <m:num>
                        <m:r>
                          <a:rPr lang="et-EE" sz="1100" b="0" i="1">
                            <a:latin typeface="Cambria Math" panose="02040503050406030204" pitchFamily="18" charset="0"/>
                          </a:rPr>
                          <m:t>−</m:t>
                        </m:r>
                        <m:r>
                          <a:rPr lang="et-EE" sz="1100" b="0" i="1">
                            <a:latin typeface="Cambria Math" panose="02040503050406030204" pitchFamily="18" charset="0"/>
                          </a:rPr>
                          <m:t>𝑏</m:t>
                        </m:r>
                        <m:r>
                          <a:rPr lang="et-EE" sz="1100" b="0" i="1">
                            <a:latin typeface="Cambria Math" panose="02040503050406030204" pitchFamily="18" charset="0"/>
                            <a:ea typeface="Cambria Math" panose="02040503050406030204" pitchFamily="18" charset="0"/>
                          </a:rPr>
                          <m:t>±</m:t>
                        </m:r>
                        <m:rad>
                          <m:radPr>
                            <m:degHide m:val="on"/>
                            <m:ctrlPr>
                              <a:rPr lang="et-EE" sz="1100" b="0" i="1">
                                <a:latin typeface="Cambria Math" panose="02040503050406030204" pitchFamily="18" charset="0"/>
                                <a:ea typeface="Cambria Math" panose="02040503050406030204" pitchFamily="18" charset="0"/>
                              </a:rPr>
                            </m:ctrlPr>
                          </m:radPr>
                          <m:deg/>
                          <m:e>
                            <m:sSup>
                              <m:sSupPr>
                                <m:ctrlPr>
                                  <a:rPr lang="et-EE" sz="1100" b="0" i="1">
                                    <a:latin typeface="Cambria Math" panose="02040503050406030204" pitchFamily="18" charset="0"/>
                                    <a:ea typeface="Cambria Math" panose="02040503050406030204" pitchFamily="18" charset="0"/>
                                  </a:rPr>
                                </m:ctrlPr>
                              </m:sSupPr>
                              <m:e>
                                <m:r>
                                  <a:rPr lang="et-EE" sz="1100" b="0" i="1">
                                    <a:latin typeface="Cambria Math" panose="02040503050406030204" pitchFamily="18" charset="0"/>
                                    <a:ea typeface="Cambria Math" panose="02040503050406030204" pitchFamily="18" charset="0"/>
                                  </a:rPr>
                                  <m:t>𝑏</m:t>
                                </m:r>
                              </m:e>
                              <m:sup>
                                <m:r>
                                  <a:rPr lang="et-EE" sz="1100" b="0" i="1">
                                    <a:latin typeface="Cambria Math" panose="02040503050406030204" pitchFamily="18" charset="0"/>
                                    <a:ea typeface="Cambria Math" panose="02040503050406030204" pitchFamily="18" charset="0"/>
                                  </a:rPr>
                                  <m:t>2</m:t>
                                </m:r>
                              </m:sup>
                            </m:sSup>
                            <m:r>
                              <a:rPr lang="et-EE" sz="1100" b="0" i="1">
                                <a:latin typeface="Cambria Math" panose="02040503050406030204" pitchFamily="18" charset="0"/>
                                <a:ea typeface="Cambria Math" panose="02040503050406030204" pitchFamily="18" charset="0"/>
                              </a:rPr>
                              <m:t>−4</m:t>
                            </m:r>
                            <m:r>
                              <a:rPr lang="et-EE" sz="1100" b="0" i="1">
                                <a:latin typeface="Cambria Math" panose="02040503050406030204" pitchFamily="18" charset="0"/>
                                <a:ea typeface="Cambria Math" panose="02040503050406030204" pitchFamily="18" charset="0"/>
                              </a:rPr>
                              <m:t>𝑎𝑐</m:t>
                            </m:r>
                          </m:e>
                        </m:rad>
                      </m:num>
                      <m:den>
                        <m:r>
                          <a:rPr lang="et-EE" sz="1100" b="0" i="1">
                            <a:latin typeface="Cambria Math" panose="02040503050406030204" pitchFamily="18" charset="0"/>
                          </a:rPr>
                          <m:t>2</m:t>
                        </m:r>
                        <m:r>
                          <a:rPr lang="et-EE" sz="1100" b="0" i="1">
                            <a:latin typeface="Cambria Math" panose="02040503050406030204" pitchFamily="18" charset="0"/>
                          </a:rPr>
                          <m:t>𝑎</m:t>
                        </m:r>
                      </m:den>
                    </m:f>
                  </m:oMath>
                </m:oMathPara>
              </a14:m>
              <a:endParaRPr lang="et-EE" sz="1100"/>
            </a:p>
          </xdr:txBody>
        </xdr:sp>
      </mc:Choice>
      <mc:Fallback xmlns="">
        <xdr:sp macro="" textlink="">
          <xdr:nvSpPr>
            <xdr:cNvPr id="3" name="TextBox 2">
              <a:extLst>
                <a:ext uri="{FF2B5EF4-FFF2-40B4-BE49-F238E27FC236}">
                  <a16:creationId xmlns:a16="http://schemas.microsoft.com/office/drawing/2014/main" id="{90840666-993A-BC21-D65C-1B7FA967B162}"/>
                </a:ext>
              </a:extLst>
            </xdr:cNvPr>
            <xdr:cNvSpPr txBox="1"/>
          </xdr:nvSpPr>
          <xdr:spPr>
            <a:xfrm>
              <a:off x="3233737" y="1147762"/>
              <a:ext cx="1417568" cy="36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t-EE" sz="1100" b="0" i="0">
                  <a:latin typeface="Cambria Math" panose="02040503050406030204" pitchFamily="18" charset="0"/>
                </a:rPr>
                <a:t>𝑥_1,2=(−𝑏</a:t>
              </a:r>
              <a:r>
                <a:rPr lang="et-EE" sz="1100" b="0" i="0">
                  <a:latin typeface="Cambria Math" panose="02040503050406030204" pitchFamily="18" charset="0"/>
                  <a:ea typeface="Cambria Math" panose="02040503050406030204" pitchFamily="18" charset="0"/>
                </a:rPr>
                <a:t>±√(𝑏^2−4𝑎𝑐))/</a:t>
              </a:r>
              <a:r>
                <a:rPr lang="et-EE" sz="1100" b="0" i="0">
                  <a:latin typeface="Cambria Math" panose="02040503050406030204" pitchFamily="18" charset="0"/>
                </a:rPr>
                <a:t>2𝑎</a:t>
              </a:r>
              <a:endParaRPr lang="et-EE" sz="1100"/>
            </a:p>
          </xdr:txBody>
        </xdr:sp>
      </mc:Fallback>
    </mc:AlternateContent>
    <xdr:clientData/>
  </xdr:oneCellAnchor>
  <xdr:oneCellAnchor>
    <xdr:from>
      <xdr:col>6</xdr:col>
      <xdr:colOff>242887</xdr:colOff>
      <xdr:row>9</xdr:row>
      <xdr:rowOff>157162</xdr:rowOff>
    </xdr:from>
    <xdr:ext cx="651525" cy="46224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3509962" y="1795462"/>
              <a:ext cx="651525" cy="462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hr m:val="∑"/>
                        <m:ctrlPr>
                          <a:rPr lang="et-EE" sz="1100" i="1">
                            <a:latin typeface="Cambria Math" panose="02040503050406030204" pitchFamily="18" charset="0"/>
                          </a:rPr>
                        </m:ctrlPr>
                      </m:naryPr>
                      <m:sub>
                        <m:r>
                          <m:rPr>
                            <m:brk m:alnAt="23"/>
                          </m:rPr>
                          <a:rPr lang="et-EE" sz="1100" b="0" i="1">
                            <a:latin typeface="Cambria Math" panose="02040503050406030204" pitchFamily="18" charset="0"/>
                          </a:rPr>
                          <m:t>𝑘</m:t>
                        </m:r>
                        <m:r>
                          <a:rPr lang="et-EE" sz="1100" b="0" i="1">
                            <a:latin typeface="Cambria Math" panose="02040503050406030204" pitchFamily="18" charset="0"/>
                          </a:rPr>
                          <m:t>−0</m:t>
                        </m:r>
                      </m:sub>
                      <m:sup>
                        <m:r>
                          <a:rPr lang="et-EE" sz="1100" b="0" i="1">
                            <a:latin typeface="Cambria Math" panose="02040503050406030204" pitchFamily="18" charset="0"/>
                          </a:rPr>
                          <m:t>𝑛</m:t>
                        </m:r>
                      </m:sup>
                      <m:e>
                        <m:f>
                          <m:fPr>
                            <m:ctrlPr>
                              <a:rPr lang="et-EE" sz="1100" i="1">
                                <a:latin typeface="Cambria Math" panose="02040503050406030204" pitchFamily="18" charset="0"/>
                              </a:rPr>
                            </m:ctrlPr>
                          </m:fPr>
                          <m:num>
                            <m:func>
                              <m:funcPr>
                                <m:ctrlPr>
                                  <a:rPr lang="et-EE" sz="1100" i="1">
                                    <a:latin typeface="Cambria Math" panose="02040503050406030204" pitchFamily="18" charset="0"/>
                                  </a:rPr>
                                </m:ctrlPr>
                              </m:funcPr>
                              <m:fName>
                                <m:r>
                                  <m:rPr>
                                    <m:sty m:val="p"/>
                                  </m:rPr>
                                  <a:rPr lang="et-EE" sz="1100" i="0">
                                    <a:latin typeface="Cambria Math" panose="02040503050406030204" pitchFamily="18" charset="0"/>
                                  </a:rPr>
                                  <m:t>sin</m:t>
                                </m:r>
                              </m:fName>
                              <m:e>
                                <m:r>
                                  <a:rPr lang="et-EE" sz="1100" b="0" i="1">
                                    <a:latin typeface="Cambria Math" panose="02040503050406030204" pitchFamily="18" charset="0"/>
                                  </a:rPr>
                                  <m:t>𝑘𝑥</m:t>
                                </m:r>
                              </m:e>
                            </m:func>
                          </m:num>
                          <m:den>
                            <m:sSup>
                              <m:sSupPr>
                                <m:ctrlPr>
                                  <a:rPr lang="et-EE" sz="1100" i="1">
                                    <a:latin typeface="Cambria Math" panose="02040503050406030204" pitchFamily="18" charset="0"/>
                                  </a:rPr>
                                </m:ctrlPr>
                              </m:sSupPr>
                              <m:e>
                                <m:r>
                                  <a:rPr lang="et-EE" sz="1100" b="0" i="1">
                                    <a:latin typeface="Cambria Math" panose="02040503050406030204" pitchFamily="18" charset="0"/>
                                  </a:rPr>
                                  <m:t>𝑘</m:t>
                                </m:r>
                              </m:e>
                              <m:sup>
                                <m:r>
                                  <a:rPr lang="et-EE" sz="1100" b="0" i="1">
                                    <a:latin typeface="Cambria Math" panose="02040503050406030204" pitchFamily="18" charset="0"/>
                                  </a:rPr>
                                  <m:t>3</m:t>
                                </m:r>
                              </m:sup>
                            </m:sSup>
                            <m:r>
                              <a:rPr lang="et-EE" sz="1100" b="0" i="1">
                                <a:latin typeface="Cambria Math" panose="02040503050406030204" pitchFamily="18" charset="0"/>
                              </a:rPr>
                              <m:t>+5</m:t>
                            </m:r>
                          </m:den>
                        </m:f>
                      </m:e>
                    </m:nary>
                  </m:oMath>
                </m:oMathPara>
              </a14:m>
              <a:endParaRPr lang="et-EE" sz="1100"/>
            </a:p>
          </xdr:txBody>
        </xdr:sp>
      </mc:Choice>
      <mc:Fallback xmlns="">
        <xdr:sp macro="" textlink="">
          <xdr:nvSpPr>
            <xdr:cNvPr id="4" name="TextBox 3">
              <a:extLst>
                <a:ext uri="{FF2B5EF4-FFF2-40B4-BE49-F238E27FC236}">
                  <a16:creationId xmlns:a16="http://schemas.microsoft.com/office/drawing/2014/main" id="{14968E63-F193-970E-B73B-AB85007990C0}"/>
                </a:ext>
              </a:extLst>
            </xdr:cNvPr>
            <xdr:cNvSpPr txBox="1"/>
          </xdr:nvSpPr>
          <xdr:spPr>
            <a:xfrm>
              <a:off x="3509962" y="1795462"/>
              <a:ext cx="651525" cy="462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t-EE" sz="1100" i="0">
                  <a:latin typeface="Cambria Math" panose="02040503050406030204" pitchFamily="18" charset="0"/>
                </a:rPr>
                <a:t>∑24_(</a:t>
              </a:r>
              <a:r>
                <a:rPr lang="et-EE" sz="1100" b="0" i="0">
                  <a:latin typeface="Cambria Math" panose="02040503050406030204" pitchFamily="18" charset="0"/>
                </a:rPr>
                <a:t>𝑘−0)^𝑛▒</a:t>
              </a:r>
              <a:r>
                <a:rPr lang="et-EE" sz="1100" i="0">
                  <a:latin typeface="Cambria Math" panose="02040503050406030204" pitchFamily="18" charset="0"/>
                </a:rPr>
                <a:t>sin⁡</a:t>
              </a:r>
              <a:r>
                <a:rPr lang="et-EE" sz="1100" b="0" i="0">
                  <a:latin typeface="Cambria Math" panose="02040503050406030204" pitchFamily="18" charset="0"/>
                </a:rPr>
                <a:t>𝑘𝑥/(𝑘^3+5)</a:t>
              </a:r>
              <a:endParaRPr lang="et-EE" sz="1100"/>
            </a:p>
          </xdr:txBody>
        </xdr:sp>
      </mc:Fallback>
    </mc:AlternateContent>
    <xdr:clientData/>
  </xdr:oneCellAnchor>
  <xdr:oneCellAnchor>
    <xdr:from>
      <xdr:col>6</xdr:col>
      <xdr:colOff>138112</xdr:colOff>
      <xdr:row>14</xdr:row>
      <xdr:rowOff>147637</xdr:rowOff>
    </xdr:from>
    <xdr:ext cx="1977273" cy="540404"/>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200-000005000000}"/>
                </a:ext>
              </a:extLst>
            </xdr:cNvPr>
            <xdr:cNvSpPr txBox="1"/>
          </xdr:nvSpPr>
          <xdr:spPr>
            <a:xfrm>
              <a:off x="3405187" y="2595562"/>
              <a:ext cx="1977273" cy="540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d>
                      <m:dPr>
                        <m:begChr m:val="["/>
                        <m:endChr m:val="]"/>
                        <m:ctrlPr>
                          <a:rPr lang="et-EE" sz="1100" i="1">
                            <a:latin typeface="Cambria Math" panose="02040503050406030204" pitchFamily="18" charset="0"/>
                          </a:rPr>
                        </m:ctrlPr>
                      </m:dPr>
                      <m:e>
                        <m:m>
                          <m:mPr>
                            <m:mcs>
                              <m:mc>
                                <m:mcPr>
                                  <m:count m:val="3"/>
                                  <m:mcJc m:val="center"/>
                                </m:mcPr>
                              </m:mc>
                            </m:mcs>
                            <m:ctrlPr>
                              <a:rPr lang="et-EE" sz="1100" i="1">
                                <a:latin typeface="Cambria Math" panose="02040503050406030204" pitchFamily="18" charset="0"/>
                              </a:rPr>
                            </m:ctrlPr>
                          </m:mPr>
                          <m:mr>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1,1</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1,2</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1,3</m:t>
                                  </m:r>
                                </m:sub>
                              </m:sSub>
                            </m:e>
                          </m:mr>
                          <m:mr>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2,1</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2,2</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2,3</m:t>
                                  </m:r>
                                </m:sub>
                              </m:sSub>
                            </m:e>
                          </m:mr>
                          <m:mr>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3,1</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2,3</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3,3</m:t>
                                  </m:r>
                                </m:sub>
                              </m:sSub>
                            </m:e>
                          </m:mr>
                        </m:m>
                      </m:e>
                    </m:d>
                    <m:r>
                      <a:rPr lang="et-EE" sz="1100" b="0" i="1">
                        <a:latin typeface="Cambria Math" panose="02040503050406030204" pitchFamily="18" charset="0"/>
                        <a:ea typeface="Cambria Math" panose="02040503050406030204" pitchFamily="18" charset="0"/>
                      </a:rPr>
                      <m:t>∙</m:t>
                    </m:r>
                    <m:d>
                      <m:dPr>
                        <m:begChr m:val="{"/>
                        <m:endChr m:val="}"/>
                        <m:ctrlPr>
                          <a:rPr lang="et-EE" sz="1100" b="0" i="1">
                            <a:latin typeface="Cambria Math" panose="02040503050406030204" pitchFamily="18" charset="0"/>
                          </a:rPr>
                        </m:ctrlPr>
                      </m:dPr>
                      <m:e>
                        <m:m>
                          <m:mPr>
                            <m:mcs>
                              <m:mc>
                                <m:mcPr>
                                  <m:count m:val="1"/>
                                  <m:mcJc m:val="center"/>
                                </m:mcPr>
                              </m:mc>
                            </m:mcs>
                            <m:ctrlPr>
                              <a:rPr lang="et-EE" sz="1100" b="0" i="1">
                                <a:latin typeface="Cambria Math" panose="02040503050406030204" pitchFamily="18" charset="0"/>
                              </a:rPr>
                            </m:ctrlPr>
                          </m:mPr>
                          <m:mr>
                            <m:e>
                              <m:sSub>
                                <m:sSubPr>
                                  <m:ctrlPr>
                                    <a:rPr lang="et-EE" sz="1100" b="0" i="1">
                                      <a:latin typeface="Cambria Math" panose="02040503050406030204" pitchFamily="18" charset="0"/>
                                    </a:rPr>
                                  </m:ctrlPr>
                                </m:sSubPr>
                                <m:e>
                                  <m:r>
                                    <a:rPr lang="et-EE" sz="1100" b="0" i="1">
                                      <a:latin typeface="Cambria Math" panose="02040503050406030204" pitchFamily="18" charset="0"/>
                                    </a:rPr>
                                    <m:t>𝑥</m:t>
                                  </m:r>
                                </m:e>
                                <m:sub>
                                  <m:r>
                                    <a:rPr lang="et-EE" sz="1100" b="0" i="1">
                                      <a:latin typeface="Cambria Math" panose="02040503050406030204" pitchFamily="18" charset="0"/>
                                    </a:rPr>
                                    <m:t>1</m:t>
                                  </m:r>
                                </m:sub>
                              </m:sSub>
                            </m:e>
                          </m:mr>
                          <m:mr>
                            <m:e>
                              <m:sSub>
                                <m:sSubPr>
                                  <m:ctrlPr>
                                    <a:rPr lang="et-EE" sz="1100" b="0" i="1">
                                      <a:latin typeface="Cambria Math" panose="02040503050406030204" pitchFamily="18" charset="0"/>
                                    </a:rPr>
                                  </m:ctrlPr>
                                </m:sSubPr>
                                <m:e>
                                  <m:r>
                                    <a:rPr lang="et-EE" sz="1100" b="0" i="1">
                                      <a:latin typeface="Cambria Math" panose="02040503050406030204" pitchFamily="18" charset="0"/>
                                    </a:rPr>
                                    <m:t>𝑥</m:t>
                                  </m:r>
                                </m:e>
                                <m:sub>
                                  <m:r>
                                    <a:rPr lang="et-EE" sz="1100" b="0" i="1">
                                      <a:latin typeface="Cambria Math" panose="02040503050406030204" pitchFamily="18" charset="0"/>
                                    </a:rPr>
                                    <m:t>2</m:t>
                                  </m:r>
                                </m:sub>
                              </m:sSub>
                            </m:e>
                          </m:mr>
                          <m:mr>
                            <m:e>
                              <m:sSub>
                                <m:sSubPr>
                                  <m:ctrlPr>
                                    <a:rPr lang="et-EE" sz="1100" b="0" i="1">
                                      <a:latin typeface="Cambria Math" panose="02040503050406030204" pitchFamily="18" charset="0"/>
                                    </a:rPr>
                                  </m:ctrlPr>
                                </m:sSubPr>
                                <m:e>
                                  <m:r>
                                    <a:rPr lang="et-EE" sz="1100" b="0" i="1">
                                      <a:latin typeface="Cambria Math" panose="02040503050406030204" pitchFamily="18" charset="0"/>
                                    </a:rPr>
                                    <m:t>𝑥</m:t>
                                  </m:r>
                                </m:e>
                                <m:sub>
                                  <m:r>
                                    <a:rPr lang="et-EE" sz="1100" b="0" i="1">
                                      <a:latin typeface="Cambria Math" panose="02040503050406030204" pitchFamily="18" charset="0"/>
                                    </a:rPr>
                                    <m:t>3</m:t>
                                  </m:r>
                                </m:sub>
                              </m:sSub>
                            </m:e>
                          </m:mr>
                        </m:m>
                      </m:e>
                    </m:d>
                    <m:r>
                      <a:rPr lang="et-EE" sz="1100" b="0" i="1">
                        <a:latin typeface="Cambria Math" panose="02040503050406030204" pitchFamily="18" charset="0"/>
                      </a:rPr>
                      <m:t>=</m:t>
                    </m:r>
                    <m:d>
                      <m:dPr>
                        <m:begChr m:val="{"/>
                        <m:endChr m:val="}"/>
                        <m:ctrlPr>
                          <a:rPr lang="et-EE" sz="1100" b="0" i="1">
                            <a:latin typeface="Cambria Math" panose="02040503050406030204" pitchFamily="18" charset="0"/>
                          </a:rPr>
                        </m:ctrlPr>
                      </m:dPr>
                      <m:e>
                        <m:m>
                          <m:mPr>
                            <m:mcs>
                              <m:mc>
                                <m:mcPr>
                                  <m:count m:val="1"/>
                                  <m:mcJc m:val="center"/>
                                </m:mcPr>
                              </m:mc>
                            </m:mcs>
                            <m:ctrlPr>
                              <a:rPr lang="et-EE" sz="1100" b="0" i="1">
                                <a:latin typeface="Cambria Math" panose="02040503050406030204" pitchFamily="18" charset="0"/>
                              </a:rPr>
                            </m:ctrlPr>
                          </m:mPr>
                          <m:mr>
                            <m:e>
                              <m:sSub>
                                <m:sSubPr>
                                  <m:ctrlPr>
                                    <a:rPr lang="et-EE" sz="1100" b="0" i="1">
                                      <a:latin typeface="Cambria Math" panose="02040503050406030204" pitchFamily="18" charset="0"/>
                                    </a:rPr>
                                  </m:ctrlPr>
                                </m:sSubPr>
                                <m:e>
                                  <m:r>
                                    <a:rPr lang="et-EE" sz="1100" b="0" i="1">
                                      <a:latin typeface="Cambria Math" panose="02040503050406030204" pitchFamily="18" charset="0"/>
                                    </a:rPr>
                                    <m:t>𝑏</m:t>
                                  </m:r>
                                </m:e>
                                <m:sub>
                                  <m:r>
                                    <a:rPr lang="et-EE" sz="1100" b="0" i="1">
                                      <a:latin typeface="Cambria Math" panose="02040503050406030204" pitchFamily="18" charset="0"/>
                                    </a:rPr>
                                    <m:t>1</m:t>
                                  </m:r>
                                </m:sub>
                              </m:sSub>
                            </m:e>
                          </m:mr>
                          <m:mr>
                            <m:e>
                              <m:sSub>
                                <m:sSubPr>
                                  <m:ctrlPr>
                                    <a:rPr lang="et-EE" sz="1100" b="0" i="1">
                                      <a:latin typeface="Cambria Math" panose="02040503050406030204" pitchFamily="18" charset="0"/>
                                    </a:rPr>
                                  </m:ctrlPr>
                                </m:sSubPr>
                                <m:e>
                                  <m:r>
                                    <a:rPr lang="et-EE" sz="1100" b="0" i="1">
                                      <a:latin typeface="Cambria Math" panose="02040503050406030204" pitchFamily="18" charset="0"/>
                                    </a:rPr>
                                    <m:t>𝑏</m:t>
                                  </m:r>
                                </m:e>
                                <m:sub>
                                  <m:r>
                                    <a:rPr lang="et-EE" sz="1100" b="0" i="1">
                                      <a:latin typeface="Cambria Math" panose="02040503050406030204" pitchFamily="18" charset="0"/>
                                    </a:rPr>
                                    <m:t>2</m:t>
                                  </m:r>
                                </m:sub>
                              </m:sSub>
                            </m:e>
                          </m:mr>
                          <m:mr>
                            <m:e>
                              <m:sSub>
                                <m:sSubPr>
                                  <m:ctrlPr>
                                    <a:rPr lang="et-EE" sz="1100" b="0" i="1">
                                      <a:latin typeface="Cambria Math" panose="02040503050406030204" pitchFamily="18" charset="0"/>
                                    </a:rPr>
                                  </m:ctrlPr>
                                </m:sSubPr>
                                <m:e>
                                  <m:r>
                                    <a:rPr lang="et-EE" sz="1100" b="0" i="1">
                                      <a:latin typeface="Cambria Math" panose="02040503050406030204" pitchFamily="18" charset="0"/>
                                    </a:rPr>
                                    <m:t>𝑏</m:t>
                                  </m:r>
                                </m:e>
                                <m:sub>
                                  <m:r>
                                    <a:rPr lang="et-EE" sz="1100" b="0" i="1">
                                      <a:latin typeface="Cambria Math" panose="02040503050406030204" pitchFamily="18" charset="0"/>
                                    </a:rPr>
                                    <m:t>3</m:t>
                                  </m:r>
                                </m:sub>
                              </m:sSub>
                            </m:e>
                          </m:mr>
                        </m:m>
                      </m:e>
                    </m:d>
                  </m:oMath>
                </m:oMathPara>
              </a14:m>
              <a:endParaRPr lang="et-EE" sz="1100"/>
            </a:p>
          </xdr:txBody>
        </xdr:sp>
      </mc:Choice>
      <mc:Fallback xmlns="">
        <xdr:sp macro="" textlink="">
          <xdr:nvSpPr>
            <xdr:cNvPr id="5" name="TextBox 4">
              <a:extLst>
                <a:ext uri="{FF2B5EF4-FFF2-40B4-BE49-F238E27FC236}">
                  <a16:creationId xmlns:a16="http://schemas.microsoft.com/office/drawing/2014/main" id="{CDD45C15-225F-FC0B-3E05-BD85993C9A92}"/>
                </a:ext>
              </a:extLst>
            </xdr:cNvPr>
            <xdr:cNvSpPr txBox="1"/>
          </xdr:nvSpPr>
          <xdr:spPr>
            <a:xfrm>
              <a:off x="3405187" y="2595562"/>
              <a:ext cx="1977273" cy="540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t-EE" sz="1100" i="0">
                  <a:latin typeface="Cambria Math" panose="02040503050406030204" pitchFamily="18" charset="0"/>
                </a:rPr>
                <a:t>[■8(</a:t>
              </a:r>
              <a:r>
                <a:rPr lang="et-EE" sz="1100" b="0" i="0">
                  <a:latin typeface="Cambria Math" panose="02040503050406030204" pitchFamily="18" charset="0"/>
                </a:rPr>
                <a:t>𝐴_1,1&amp;𝐴_1,2&amp;𝐴_1,3@𝐴_2,1&amp;𝐴_2,2&amp;𝐴_2,3@𝐴_3,1&amp;𝐴_2,3&amp;𝐴_3,3 )]</a:t>
              </a:r>
              <a:r>
                <a:rPr lang="et-EE" sz="1100" b="0" i="0">
                  <a:latin typeface="Cambria Math" panose="02040503050406030204" pitchFamily="18" charset="0"/>
                  <a:ea typeface="Cambria Math" panose="02040503050406030204" pitchFamily="18" charset="0"/>
                </a:rPr>
                <a:t>∙</a:t>
              </a:r>
              <a:r>
                <a:rPr lang="et-EE" sz="1100" b="0" i="0">
                  <a:latin typeface="Cambria Math" panose="02040503050406030204" pitchFamily="18" charset="0"/>
                </a:rPr>
                <a:t>{■8(𝑥_1@𝑥_2@𝑥_3 )}={■8(𝑏_1@𝑏_2@𝑏_3 )}</a:t>
              </a:r>
              <a:endParaRPr lang="et-EE" sz="1100"/>
            </a:p>
          </xdr:txBody>
        </xdr:sp>
      </mc:Fallback>
    </mc:AlternateContent>
    <xdr:clientData/>
  </xdr:oneCellAnchor>
  <xdr:oneCellAnchor>
    <xdr:from>
      <xdr:col>6</xdr:col>
      <xdr:colOff>433387</xdr:colOff>
      <xdr:row>22</xdr:row>
      <xdr:rowOff>128587</xdr:rowOff>
    </xdr:from>
    <xdr:ext cx="2207720" cy="540404"/>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3700462" y="3871912"/>
              <a:ext cx="2207720" cy="540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t-EE" sz="1100"/>
                <a:t>F2</a:t>
              </a:r>
              <a14:m>
                <m:oMath xmlns:m="http://schemas.openxmlformats.org/officeDocument/2006/math">
                  <m:r>
                    <a:rPr lang="et-EE" sz="1100" i="1">
                      <a:latin typeface="Cambria Math" panose="02040503050406030204" pitchFamily="18" charset="0"/>
                    </a:rPr>
                    <m:t>=</m:t>
                  </m:r>
                  <m:d>
                    <m:dPr>
                      <m:begChr m:val="{"/>
                      <m:endChr m:val=""/>
                      <m:ctrlPr>
                        <a:rPr lang="et-EE" sz="1100" i="1">
                          <a:latin typeface="Cambria Math" panose="02040503050406030204" pitchFamily="18" charset="0"/>
                        </a:rPr>
                      </m:ctrlPr>
                    </m:dPr>
                    <m:e>
                      <m:eqArr>
                        <m:eqArrPr>
                          <m:ctrlPr>
                            <a:rPr lang="et-EE" sz="1100" i="1">
                              <a:latin typeface="Cambria Math" panose="02040503050406030204" pitchFamily="18" charset="0"/>
                            </a:rPr>
                          </m:ctrlPr>
                        </m:eqArrPr>
                        <m:e>
                          <m:r>
                            <a:rPr lang="et-EE" sz="1100" b="0" i="1">
                              <a:latin typeface="Cambria Math" panose="02040503050406030204" pitchFamily="18" charset="0"/>
                            </a:rPr>
                            <m:t>5</m:t>
                          </m:r>
                          <m:sSup>
                            <m:sSupPr>
                              <m:ctrlPr>
                                <a:rPr lang="et-EE" sz="1100" b="0" i="1">
                                  <a:latin typeface="Cambria Math" panose="02040503050406030204" pitchFamily="18" charset="0"/>
                                </a:rPr>
                              </m:ctrlPr>
                            </m:sSupPr>
                            <m:e>
                              <m:r>
                                <a:rPr lang="et-EE" sz="1100" b="0" i="1">
                                  <a:latin typeface="Cambria Math" panose="02040503050406030204" pitchFamily="18" charset="0"/>
                                </a:rPr>
                                <m:t>𝑠𝑖𝑛</m:t>
                              </m:r>
                            </m:e>
                            <m:sup>
                              <m:r>
                                <a:rPr lang="et-EE" sz="1100" b="0" i="1">
                                  <a:latin typeface="Cambria Math" panose="02040503050406030204" pitchFamily="18" charset="0"/>
                                </a:rPr>
                                <m:t>3</m:t>
                              </m:r>
                            </m:sup>
                          </m:sSup>
                          <m:r>
                            <a:rPr lang="et-EE" sz="1100" b="0" i="1">
                              <a:latin typeface="Cambria Math" panose="02040503050406030204" pitchFamily="18" charset="0"/>
                            </a:rPr>
                            <m:t>2</m:t>
                          </m:r>
                          <m:r>
                            <a:rPr lang="et-EE" sz="1100" b="0" i="1">
                              <a:latin typeface="Cambria Math" panose="02040503050406030204" pitchFamily="18" charset="0"/>
                            </a:rPr>
                            <m:t>𝑥</m:t>
                          </m:r>
                          <m:r>
                            <a:rPr lang="et-EE" sz="1100" b="0" i="1">
                              <a:latin typeface="Cambria Math" panose="02040503050406030204" pitchFamily="18" charset="0"/>
                            </a:rPr>
                            <m:t>+3</m:t>
                          </m:r>
                          <m:r>
                            <a:rPr lang="et-EE" sz="1100" b="0" i="1">
                              <a:latin typeface="Cambria Math" panose="02040503050406030204" pitchFamily="18" charset="0"/>
                            </a:rPr>
                            <m:t>𝑐𝑜𝑠</m:t>
                          </m:r>
                          <m:f>
                            <m:fPr>
                              <m:ctrlPr>
                                <a:rPr lang="et-EE" sz="1100" b="0" i="1">
                                  <a:latin typeface="Cambria Math" panose="02040503050406030204" pitchFamily="18" charset="0"/>
                                </a:rPr>
                              </m:ctrlPr>
                            </m:fPr>
                            <m:num>
                              <m:r>
                                <a:rPr lang="et-EE" sz="1100" b="0" i="1">
                                  <a:latin typeface="Cambria Math" panose="02040503050406030204" pitchFamily="18" charset="0"/>
                                </a:rPr>
                                <m:t>2</m:t>
                              </m:r>
                              <m:r>
                                <a:rPr lang="et-EE" sz="1100" b="0" i="1">
                                  <a:latin typeface="Cambria Math" panose="02040503050406030204" pitchFamily="18" charset="0"/>
                                  <a:ea typeface="Cambria Math" panose="02040503050406030204" pitchFamily="18" charset="0"/>
                                </a:rPr>
                                <m:t>𝜋</m:t>
                              </m:r>
                              <m:r>
                                <a:rPr lang="et-EE" sz="1100" b="0" i="1">
                                  <a:latin typeface="Cambria Math" panose="02040503050406030204" pitchFamily="18" charset="0"/>
                                  <a:ea typeface="Cambria Math" panose="02040503050406030204" pitchFamily="18" charset="0"/>
                                </a:rPr>
                                <m:t>𝑥</m:t>
                              </m:r>
                              <m:r>
                                <a:rPr lang="et-EE" sz="1100" b="0" i="1">
                                  <a:latin typeface="Cambria Math" panose="02040503050406030204" pitchFamily="18" charset="0"/>
                                  <a:ea typeface="Cambria Math" panose="02040503050406030204" pitchFamily="18" charset="0"/>
                                </a:rPr>
                                <m:t>+3</m:t>
                              </m:r>
                            </m:num>
                            <m:den>
                              <m:r>
                                <a:rPr lang="et-EE" sz="1100" b="0" i="1">
                                  <a:latin typeface="Cambria Math" panose="02040503050406030204" pitchFamily="18" charset="0"/>
                                </a:rPr>
                                <m:t>5</m:t>
                              </m:r>
                            </m:den>
                          </m:f>
                          <m:r>
                            <a:rPr lang="et-EE" sz="1100" i="1">
                              <a:latin typeface="Cambria Math" panose="02040503050406030204" pitchFamily="18" charset="0"/>
                            </a:rPr>
                            <m:t> </m:t>
                          </m:r>
                          <m:r>
                            <a:rPr lang="et-EE" sz="1100" i="1">
                              <a:latin typeface="Cambria Math" panose="02040503050406030204" pitchFamily="18" charset="0"/>
                            </a:rPr>
                            <m:t>𝑥</m:t>
                          </m:r>
                          <m:r>
                            <a:rPr lang="et-EE" sz="1100" i="1">
                              <a:latin typeface="Cambria Math" panose="02040503050406030204" pitchFamily="18" charset="0"/>
                            </a:rPr>
                            <m:t>&lt;2</m:t>
                          </m:r>
                        </m:e>
                        <m:e>
                          <m:r>
                            <a:rPr lang="et-EE" sz="1100" b="0" i="1">
                              <a:latin typeface="Cambria Math" panose="02040503050406030204" pitchFamily="18" charset="0"/>
                            </a:rPr>
                            <m:t>5</m:t>
                          </m:r>
                          <m:r>
                            <a:rPr lang="et-EE" sz="1100" b="0" i="1">
                              <a:latin typeface="Cambria Math" panose="02040503050406030204" pitchFamily="18" charset="0"/>
                            </a:rPr>
                            <m:t>𝑐𝑜𝑠</m:t>
                          </m:r>
                          <m:f>
                            <m:fPr>
                              <m:ctrlPr>
                                <a:rPr lang="et-EE" sz="1100" b="0" i="1">
                                  <a:latin typeface="Cambria Math" panose="02040503050406030204" pitchFamily="18" charset="0"/>
                                </a:rPr>
                              </m:ctrlPr>
                            </m:fPr>
                            <m:num>
                              <m:r>
                                <a:rPr lang="et-EE" sz="1100" b="0" i="1">
                                  <a:latin typeface="Cambria Math" panose="02040503050406030204" pitchFamily="18" charset="0"/>
                                  <a:ea typeface="Cambria Math" panose="02040503050406030204" pitchFamily="18" charset="0"/>
                                </a:rPr>
                                <m:t>𝜋</m:t>
                              </m:r>
                              <m:r>
                                <a:rPr lang="et-EE" sz="1100" b="0" i="1">
                                  <a:latin typeface="Cambria Math" panose="02040503050406030204" pitchFamily="18" charset="0"/>
                                  <a:ea typeface="Cambria Math" panose="02040503050406030204" pitchFamily="18" charset="0"/>
                                </a:rPr>
                                <m:t>𝑥</m:t>
                              </m:r>
                            </m:num>
                            <m:den>
                              <m:r>
                                <a:rPr lang="et-EE" sz="1100" b="0" i="1">
                                  <a:latin typeface="Cambria Math" panose="02040503050406030204" pitchFamily="18" charset="0"/>
                                </a:rPr>
                                <m:t>3</m:t>
                              </m:r>
                            </m:den>
                          </m:f>
                          <m:r>
                            <a:rPr lang="et-EE" sz="1100" b="0" i="1">
                              <a:latin typeface="Cambria Math" panose="02040503050406030204" pitchFamily="18" charset="0"/>
                            </a:rPr>
                            <m:t>−2</m:t>
                          </m:r>
                          <m:func>
                            <m:funcPr>
                              <m:ctrlPr>
                                <a:rPr lang="et-EE" sz="1100" b="0" i="1">
                                  <a:latin typeface="Cambria Math" panose="02040503050406030204" pitchFamily="18" charset="0"/>
                                </a:rPr>
                              </m:ctrlPr>
                            </m:funcPr>
                            <m:fName>
                              <m:r>
                                <m:rPr>
                                  <m:sty m:val="p"/>
                                </m:rPr>
                                <a:rPr lang="et-EE" sz="1100" b="0" i="0">
                                  <a:latin typeface="Cambria Math" panose="02040503050406030204" pitchFamily="18" charset="0"/>
                                </a:rPr>
                                <m:t>sin</m:t>
                              </m:r>
                            </m:fName>
                            <m:e>
                              <m:r>
                                <a:rPr lang="et-EE" sz="1100" b="0" i="1">
                                  <a:latin typeface="Cambria Math" panose="02040503050406030204" pitchFamily="18" charset="0"/>
                                </a:rPr>
                                <m:t>(</m:t>
                              </m:r>
                              <m:r>
                                <a:rPr lang="et-EE" sz="1100" b="0" i="1">
                                  <a:latin typeface="Cambria Math" panose="02040503050406030204" pitchFamily="18" charset="0"/>
                                  <a:ea typeface="Cambria Math" panose="02040503050406030204" pitchFamily="18" charset="0"/>
                                </a:rPr>
                                <m:t>𝜋</m:t>
                              </m:r>
                              <m:r>
                                <a:rPr lang="et-EE" sz="1100" b="0" i="1">
                                  <a:latin typeface="Cambria Math" panose="02040503050406030204" pitchFamily="18" charset="0"/>
                                  <a:ea typeface="Cambria Math" panose="02040503050406030204" pitchFamily="18" charset="0"/>
                                </a:rPr>
                                <m:t>𝑥</m:t>
                              </m:r>
                              <m:r>
                                <a:rPr lang="et-EE" sz="1100" b="0" i="1">
                                  <a:latin typeface="Cambria Math" panose="02040503050406030204" pitchFamily="18" charset="0"/>
                                  <a:ea typeface="Cambria Math" panose="02040503050406030204" pitchFamily="18" charset="0"/>
                                </a:rPr>
                                <m:t>−2)</m:t>
                              </m:r>
                            </m:e>
                          </m:func>
                          <m:r>
                            <a:rPr lang="et-EE" sz="1100" i="1">
                              <a:latin typeface="Cambria Math" panose="02040503050406030204" pitchFamily="18" charset="0"/>
                            </a:rPr>
                            <m:t>  </m:t>
                          </m:r>
                          <m:r>
                            <a:rPr lang="et-EE" sz="1100" i="1">
                              <a:latin typeface="Cambria Math" panose="02040503050406030204" pitchFamily="18" charset="0"/>
                            </a:rPr>
                            <m:t>𝑥</m:t>
                          </m:r>
                          <m:r>
                            <a:rPr lang="et-EE" sz="1100" i="1">
                              <a:latin typeface="Cambria Math" panose="02040503050406030204" pitchFamily="18" charset="0"/>
                            </a:rPr>
                            <m:t>≥2</m:t>
                          </m:r>
                        </m:e>
                      </m:eqArr>
                    </m:e>
                  </m:d>
                </m:oMath>
              </a14:m>
              <a:endParaRPr lang="et-EE" sz="1100"/>
            </a:p>
          </xdr:txBody>
        </xdr:sp>
      </mc:Choice>
      <mc:Fallback xmlns="">
        <xdr:sp macro="" textlink="">
          <xdr:nvSpPr>
            <xdr:cNvPr id="6" name="TextBox 5">
              <a:extLst>
                <a:ext uri="{FF2B5EF4-FFF2-40B4-BE49-F238E27FC236}">
                  <a16:creationId xmlns:a16="http://schemas.microsoft.com/office/drawing/2014/main" id="{3BA21A72-C5EF-2EFF-0ED7-C21A2015C99F}"/>
                </a:ext>
              </a:extLst>
            </xdr:cNvPr>
            <xdr:cNvSpPr txBox="1"/>
          </xdr:nvSpPr>
          <xdr:spPr>
            <a:xfrm>
              <a:off x="3700462" y="3871912"/>
              <a:ext cx="2207720" cy="540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t-EE" sz="1100"/>
                <a:t>F2</a:t>
              </a:r>
              <a:r>
                <a:rPr lang="et-EE" sz="1100" i="0">
                  <a:latin typeface="Cambria Math" panose="02040503050406030204" pitchFamily="18" charset="0"/>
                </a:rPr>
                <a:t>={█(</a:t>
              </a:r>
              <a:r>
                <a:rPr lang="et-EE" sz="1100" b="0" i="0">
                  <a:latin typeface="Cambria Math" panose="02040503050406030204" pitchFamily="18" charset="0"/>
                </a:rPr>
                <a:t>5〖𝑠𝑖𝑛〗^3 2𝑥+3𝑐𝑜𝑠 (2</a:t>
              </a:r>
              <a:r>
                <a:rPr lang="et-EE" sz="1100" b="0" i="0">
                  <a:latin typeface="Cambria Math" panose="02040503050406030204" pitchFamily="18" charset="0"/>
                  <a:ea typeface="Cambria Math" panose="02040503050406030204" pitchFamily="18" charset="0"/>
                </a:rPr>
                <a:t>𝜋𝑥+3)/</a:t>
              </a:r>
              <a:r>
                <a:rPr lang="et-EE" sz="1100" b="0" i="0">
                  <a:latin typeface="Cambria Math" panose="02040503050406030204" pitchFamily="18" charset="0"/>
                </a:rPr>
                <a:t>5 </a:t>
              </a:r>
              <a:r>
                <a:rPr lang="et-EE" sz="1100" i="0">
                  <a:latin typeface="Cambria Math" panose="02040503050406030204" pitchFamily="18" charset="0"/>
                </a:rPr>
                <a:t> 𝑥&lt;</a:t>
              </a:r>
              <a:r>
                <a:rPr lang="et-EE" sz="1100" b="0" i="0">
                  <a:latin typeface="Cambria Math" panose="02040503050406030204" pitchFamily="18" charset="0"/>
                </a:rPr>
                <a:t>2@5𝑐𝑜𝑠</a:t>
              </a:r>
              <a:r>
                <a:rPr lang="et-EE" sz="1100" b="0" i="0">
                  <a:latin typeface="Cambria Math" panose="02040503050406030204" pitchFamily="18" charset="0"/>
                  <a:ea typeface="Cambria Math" panose="02040503050406030204" pitchFamily="18" charset="0"/>
                </a:rPr>
                <a:t> 𝜋𝑥/</a:t>
              </a:r>
              <a:r>
                <a:rPr lang="et-EE" sz="1100" b="0" i="0">
                  <a:latin typeface="Cambria Math" panose="02040503050406030204" pitchFamily="18" charset="0"/>
                </a:rPr>
                <a:t>3−2 sin⁡〖(</a:t>
              </a:r>
              <a:r>
                <a:rPr lang="et-EE" sz="1100" b="0" i="0">
                  <a:latin typeface="Cambria Math" panose="02040503050406030204" pitchFamily="18" charset="0"/>
                  <a:ea typeface="Cambria Math" panose="02040503050406030204" pitchFamily="18" charset="0"/>
                </a:rPr>
                <a:t>𝜋𝑥−2)〗 </a:t>
              </a:r>
              <a:r>
                <a:rPr lang="et-EE" sz="1100" i="0">
                  <a:latin typeface="Cambria Math" panose="02040503050406030204" pitchFamily="18" charset="0"/>
                </a:rPr>
                <a:t>  𝑥≥</a:t>
              </a:r>
              <a:r>
                <a:rPr lang="et-EE" sz="1100" b="0" i="0">
                  <a:latin typeface="Cambria Math" panose="02040503050406030204" pitchFamily="18" charset="0"/>
                </a:rPr>
                <a:t>2)┤</a:t>
              </a:r>
              <a:endParaRPr lang="et-EE" sz="1100"/>
            </a:p>
          </xdr:txBody>
        </xdr:sp>
      </mc:Fallback>
    </mc:AlternateContent>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ersti.antoi/Downloads/Tabelid_1_Valemi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cer/Downloads/Harjutus_04_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rina%20Amitan/Documents/Dokumendid/irina/Sugis_16/Koolitus_2016/Kord_1/paev_1_tehtud.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ntra.ttu.ee\home\Users\Irina%20Amitan\Documents\Dokumendid\irina\Sugis_16\Koolitus_2016\Kord_1\paev_1_tehtud.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Amitan\Sugis_10\Harjutused\Excel\Copy%20of%20Harjutus3_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InformaatikaI_2013/Tabelid/Tabelid_1_Valemid_Lah_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g"/>
      <sheetName val="Sisukord"/>
      <sheetName val="Tab_Str"/>
      <sheetName val="Aadressid"/>
      <sheetName val="Laed_A"/>
      <sheetName val="Värvid"/>
      <sheetName val="Fun_tab1_A"/>
      <sheetName val="Fun_XY_A"/>
      <sheetName val="Kaubad_A"/>
      <sheetName val="Nimed"/>
      <sheetName val="Laed_N"/>
      <sheetName val="Table_1"/>
      <sheetName val="Table_2_1"/>
      <sheetName val="Hinnakiri"/>
      <sheetName val="Table_2_2"/>
      <sheetName val="Fun_tab1_N"/>
      <sheetName val="Fun_tab2_NT"/>
      <sheetName val="Fun_XY_N"/>
      <sheetName val="Värvimine_ÜP"/>
      <sheetName val="Ruumid"/>
      <sheetName val="Värvimine_tab"/>
      <sheetName val="Lisad"/>
      <sheetName val="Valideerimine"/>
      <sheetName val="abi"/>
      <sheetName val="Table_obj"/>
      <sheetName val="VLOOKUP"/>
      <sheetName val="Addr_R1C1"/>
      <sheetName val="Diagr_1"/>
      <sheetName val="Diagrammileht"/>
      <sheetName val="Kopeerimine"/>
      <sheetName val="Lohista"/>
      <sheetName val="Menüüd"/>
      <sheetName val="Nupud"/>
      <sheetName val="Ctrl_C_V"/>
      <sheetName val="Sheet1"/>
      <sheetName val="Sheet2"/>
      <sheetName val="Tabelid_1_Valemi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4">
          <cell r="G4">
            <v>0.18</v>
          </cell>
        </row>
      </sheetData>
      <sheetData sheetId="25"/>
      <sheetData sheetId="26"/>
      <sheetData sheetId="27"/>
      <sheetData sheetId="28" refreshError="1"/>
      <sheetData sheetId="29"/>
      <sheetData sheetId="30"/>
      <sheetData sheetId="31"/>
      <sheetData sheetId="32"/>
      <sheetData sheetId="33">
        <row r="17">
          <cell r="C17">
            <v>4</v>
          </cell>
        </row>
      </sheetData>
      <sheetData sheetId="34"/>
      <sheetData sheetId="35"/>
      <sheetData sheetId="3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_tab1_N"/>
      <sheetName val="Meeskond"/>
      <sheetName val="Rahvaarv"/>
      <sheetName val="Arve"/>
      <sheetName val="Kaubad"/>
      <sheetName val="Aegread"/>
      <sheetName val="Lisa"/>
    </sheetNames>
    <sheetDataSet>
      <sheetData sheetId="0">
        <row r="6">
          <cell r="B6">
            <v>-10</v>
          </cell>
          <cell r="C6">
            <v>10</v>
          </cell>
          <cell r="D6">
            <v>20</v>
          </cell>
          <cell r="E6">
            <v>1</v>
          </cell>
          <cell r="F6">
            <v>2</v>
          </cell>
        </row>
        <row r="9">
          <cell r="B9">
            <v>-10</v>
          </cell>
          <cell r="C9">
            <v>-0.84193056732976213</v>
          </cell>
          <cell r="D9">
            <v>-2.6641651016669874</v>
          </cell>
        </row>
        <row r="10">
          <cell r="B10">
            <v>-9</v>
          </cell>
          <cell r="C10">
            <v>0.41547004587670799</v>
          </cell>
          <cell r="D10">
            <v>-2.7386463011213418</v>
          </cell>
        </row>
        <row r="11">
          <cell r="B11">
            <v>-8</v>
          </cell>
          <cell r="C11">
            <v>-0.54791447390446779</v>
          </cell>
          <cell r="D11">
            <v>4.9435230909333461</v>
          </cell>
        </row>
        <row r="12">
          <cell r="B12">
            <v>-7</v>
          </cell>
          <cell r="C12">
            <v>-2.6939731488413168</v>
          </cell>
          <cell r="D12">
            <v>-1.3758166902579847</v>
          </cell>
        </row>
        <row r="13">
          <cell r="B13">
            <v>-6</v>
          </cell>
          <cell r="C13">
            <v>-2.2476863752900278</v>
          </cell>
          <cell r="D13">
            <v>-3.7984395642941067</v>
          </cell>
        </row>
        <row r="14">
          <cell r="B14">
            <v>-5</v>
          </cell>
          <cell r="C14">
            <v>0.33917218044928332</v>
          </cell>
          <cell r="D14">
            <v>4.5372339072509806</v>
          </cell>
        </row>
        <row r="15">
          <cell r="B15">
            <v>-4</v>
          </cell>
          <cell r="C15">
            <v>1.1352037429618924</v>
          </cell>
          <cell r="D15">
            <v>2.2128489940253928E-2</v>
          </cell>
        </row>
        <row r="16">
          <cell r="B16">
            <v>-3</v>
          </cell>
          <cell r="C16">
            <v>-0.1785699082496302</v>
          </cell>
          <cell r="D16">
            <v>-4.5556513094233848</v>
          </cell>
        </row>
        <row r="17">
          <cell r="B17">
            <v>-2</v>
          </cell>
          <cell r="C17">
            <v>0</v>
          </cell>
          <cell r="D17">
            <v>3.7695112717165231</v>
          </cell>
        </row>
        <row r="18">
          <cell r="B18">
            <v>-1</v>
          </cell>
          <cell r="C18">
            <v>2.2153807878123861</v>
          </cell>
          <cell r="D18">
            <v>1.4183109273161312</v>
          </cell>
        </row>
        <row r="19">
          <cell r="B19">
            <v>0</v>
          </cell>
          <cell r="C19">
            <v>2.7278922804770449</v>
          </cell>
          <cell r="D19">
            <v>-4.9499624830022269</v>
          </cell>
        </row>
        <row r="20">
          <cell r="B20">
            <v>1</v>
          </cell>
          <cell r="C20">
            <v>0.37153337462150493</v>
          </cell>
          <cell r="D20">
            <v>2.7015115293406988</v>
          </cell>
        </row>
        <row r="21">
          <cell r="B21">
            <v>2</v>
          </cell>
          <cell r="C21">
            <v>-1.2267063999049068</v>
          </cell>
          <cell r="D21">
            <v>2.7015115293406988</v>
          </cell>
        </row>
        <row r="22">
          <cell r="B22">
            <v>3</v>
          </cell>
          <cell r="C22">
            <v>-0.20349485940270645</v>
          </cell>
          <cell r="D22">
            <v>-2.2704074859237844</v>
          </cell>
        </row>
        <row r="23">
          <cell r="B23">
            <v>4</v>
          </cell>
          <cell r="C23">
            <v>0.34883362697318027</v>
          </cell>
          <cell r="D23">
            <v>-2.8767728239894153</v>
          </cell>
        </row>
        <row r="24">
          <cell r="B24">
            <v>5</v>
          </cell>
          <cell r="C24">
            <v>-1.5790218571903594</v>
          </cell>
          <cell r="D24">
            <v>-0.83824649459677758</v>
          </cell>
        </row>
        <row r="25">
          <cell r="B25">
            <v>6</v>
          </cell>
          <cell r="C25">
            <v>-2.9383717218207628</v>
          </cell>
          <cell r="D25">
            <v>1.9709597961563672</v>
          </cell>
        </row>
        <row r="26">
          <cell r="B26">
            <v>7</v>
          </cell>
          <cell r="C26">
            <v>-1.157793334382389</v>
          </cell>
          <cell r="D26">
            <v>2.9680747398701453</v>
          </cell>
        </row>
        <row r="27">
          <cell r="B27">
            <v>8</v>
          </cell>
          <cell r="C27">
            <v>1.0667877862439166</v>
          </cell>
          <cell r="D27">
            <v>1.2363554557252698</v>
          </cell>
        </row>
        <row r="28">
          <cell r="B28">
            <v>9</v>
          </cell>
          <cell r="C28">
            <v>0.6323812050384181</v>
          </cell>
          <cell r="D28">
            <v>-1.6320633326681093</v>
          </cell>
        </row>
        <row r="29">
          <cell r="B29">
            <v>10</v>
          </cell>
          <cell r="C29">
            <v>-0.45661633974115162</v>
          </cell>
          <cell r="D29">
            <v>-2.9999706196521103</v>
          </cell>
        </row>
      </sheetData>
      <sheetData sheetId="1">
        <row r="1">
          <cell r="C1">
            <v>44945</v>
          </cell>
        </row>
        <row r="4">
          <cell r="B4">
            <v>35340</v>
          </cell>
          <cell r="C4">
            <v>26</v>
          </cell>
          <cell r="G4" t="str">
            <v>20 ja nooremad</v>
          </cell>
          <cell r="H4">
            <v>1</v>
          </cell>
        </row>
        <row r="5">
          <cell r="B5">
            <v>31872</v>
          </cell>
          <cell r="C5">
            <v>35</v>
          </cell>
          <cell r="G5" t="str">
            <v>21-25</v>
          </cell>
          <cell r="H5">
            <v>3</v>
          </cell>
        </row>
        <row r="6">
          <cell r="B6">
            <v>30993</v>
          </cell>
          <cell r="C6">
            <v>38</v>
          </cell>
          <cell r="G6" t="str">
            <v>26-30</v>
          </cell>
          <cell r="H6">
            <v>10</v>
          </cell>
        </row>
        <row r="7">
          <cell r="B7">
            <v>34105</v>
          </cell>
          <cell r="C7">
            <v>29</v>
          </cell>
          <cell r="G7" t="str">
            <v>üle 30</v>
          </cell>
          <cell r="H7">
            <v>9</v>
          </cell>
        </row>
        <row r="8">
          <cell r="B8">
            <v>33636</v>
          </cell>
          <cell r="C8">
            <v>30</v>
          </cell>
        </row>
        <row r="9">
          <cell r="B9">
            <v>34977</v>
          </cell>
          <cell r="C9">
            <v>27</v>
          </cell>
        </row>
        <row r="10">
          <cell r="B10">
            <v>31350</v>
          </cell>
          <cell r="C10">
            <v>37</v>
          </cell>
        </row>
        <row r="11">
          <cell r="B11">
            <v>32173</v>
          </cell>
          <cell r="C11">
            <v>34</v>
          </cell>
        </row>
        <row r="12">
          <cell r="B12">
            <v>31192</v>
          </cell>
          <cell r="C12">
            <v>37</v>
          </cell>
        </row>
        <row r="13">
          <cell r="B13">
            <v>35160</v>
          </cell>
          <cell r="C13">
            <v>26</v>
          </cell>
        </row>
        <row r="14">
          <cell r="B14">
            <v>34033</v>
          </cell>
          <cell r="C14">
            <v>29</v>
          </cell>
        </row>
        <row r="15">
          <cell r="B15">
            <v>37864</v>
          </cell>
          <cell r="C15">
            <v>19</v>
          </cell>
        </row>
        <row r="16">
          <cell r="B16">
            <v>30000</v>
          </cell>
          <cell r="C16">
            <v>40</v>
          </cell>
        </row>
        <row r="17">
          <cell r="B17">
            <v>30910</v>
          </cell>
          <cell r="C17">
            <v>38</v>
          </cell>
        </row>
        <row r="18">
          <cell r="B18">
            <v>36428</v>
          </cell>
          <cell r="C18">
            <v>23</v>
          </cell>
        </row>
        <row r="19">
          <cell r="B19">
            <v>35975</v>
          </cell>
          <cell r="C19">
            <v>24</v>
          </cell>
        </row>
        <row r="20">
          <cell r="B20">
            <v>35132</v>
          </cell>
          <cell r="C20">
            <v>26</v>
          </cell>
        </row>
        <row r="21">
          <cell r="B21">
            <v>35396</v>
          </cell>
          <cell r="C21">
            <v>26</v>
          </cell>
        </row>
        <row r="22">
          <cell r="B22">
            <v>35253</v>
          </cell>
          <cell r="C22">
            <v>26</v>
          </cell>
        </row>
        <row r="23">
          <cell r="B23">
            <v>33378</v>
          </cell>
          <cell r="C23">
            <v>31</v>
          </cell>
        </row>
        <row r="24">
          <cell r="B24">
            <v>36349</v>
          </cell>
          <cell r="C24">
            <v>23</v>
          </cell>
        </row>
        <row r="25">
          <cell r="B25">
            <v>32618</v>
          </cell>
          <cell r="C25">
            <v>33</v>
          </cell>
        </row>
        <row r="26">
          <cell r="B26">
            <v>35087</v>
          </cell>
          <cell r="C26">
            <v>26</v>
          </cell>
        </row>
      </sheetData>
      <sheetData sheetId="2"/>
      <sheetData sheetId="3">
        <row r="5">
          <cell r="H5">
            <v>0.2</v>
          </cell>
        </row>
        <row r="6">
          <cell r="C6">
            <v>2</v>
          </cell>
          <cell r="D6">
            <v>1.83</v>
          </cell>
          <cell r="E6">
            <v>3.66</v>
          </cell>
        </row>
        <row r="7">
          <cell r="C7">
            <v>1</v>
          </cell>
          <cell r="D7">
            <v>1.68</v>
          </cell>
          <cell r="E7">
            <v>1.68</v>
          </cell>
          <cell r="H7">
            <v>2.2355555555555551</v>
          </cell>
        </row>
        <row r="8">
          <cell r="C8">
            <v>2</v>
          </cell>
          <cell r="D8">
            <v>2.69</v>
          </cell>
          <cell r="E8">
            <v>5.38</v>
          </cell>
        </row>
        <row r="9">
          <cell r="C9">
            <v>2</v>
          </cell>
          <cell r="D9">
            <v>0.99</v>
          </cell>
          <cell r="E9">
            <v>1.98</v>
          </cell>
        </row>
        <row r="10">
          <cell r="C10">
            <v>3</v>
          </cell>
          <cell r="D10">
            <v>1.58</v>
          </cell>
          <cell r="E10">
            <v>4.74</v>
          </cell>
        </row>
        <row r="11">
          <cell r="C11">
            <v>2</v>
          </cell>
          <cell r="D11">
            <v>1.34</v>
          </cell>
          <cell r="E11">
            <v>2.68</v>
          </cell>
        </row>
        <row r="12">
          <cell r="D12">
            <v>1.72</v>
          </cell>
          <cell r="E12">
            <v>0</v>
          </cell>
        </row>
        <row r="13">
          <cell r="D13">
            <v>0</v>
          </cell>
          <cell r="E13">
            <v>0</v>
          </cell>
        </row>
        <row r="14">
          <cell r="D14">
            <v>0</v>
          </cell>
          <cell r="E14">
            <v>0</v>
          </cell>
        </row>
      </sheetData>
      <sheetData sheetId="4">
        <row r="5">
          <cell r="B5">
            <v>212042</v>
          </cell>
          <cell r="C5" t="str">
            <v>AP&amp;KO Pasteet (maks+liha) 250g</v>
          </cell>
          <cell r="D5">
            <v>1.79</v>
          </cell>
        </row>
        <row r="6">
          <cell r="B6">
            <v>212012</v>
          </cell>
          <cell r="C6" t="str">
            <v>AP&amp;KO Pasteet kanaliha 250g</v>
          </cell>
          <cell r="D6">
            <v>1.78</v>
          </cell>
        </row>
        <row r="7">
          <cell r="B7">
            <v>212013</v>
          </cell>
          <cell r="C7" t="str">
            <v>AP&amp;KO Pasteet kanamaksa 250g</v>
          </cell>
          <cell r="D7">
            <v>1.83</v>
          </cell>
        </row>
        <row r="8">
          <cell r="B8">
            <v>212014</v>
          </cell>
          <cell r="C8" t="str">
            <v>AP&amp;KO Pasteet maksa 250g</v>
          </cell>
          <cell r="D8">
            <v>1.83</v>
          </cell>
        </row>
        <row r="9">
          <cell r="B9">
            <v>212017</v>
          </cell>
          <cell r="C9" t="str">
            <v>AP&amp;KO Pasteet veiseliha 250g</v>
          </cell>
          <cell r="D9">
            <v>1.8</v>
          </cell>
        </row>
        <row r="10">
          <cell r="B10">
            <v>208014</v>
          </cell>
          <cell r="C10" t="str">
            <v>AROMA margariin 400g</v>
          </cell>
          <cell r="D10">
            <v>1.34</v>
          </cell>
        </row>
        <row r="11">
          <cell r="B11">
            <v>214103</v>
          </cell>
          <cell r="C11" t="str">
            <v>BELETTE määrdejuust küüslauguga 250g</v>
          </cell>
          <cell r="D11">
            <v>2.69</v>
          </cell>
        </row>
        <row r="12">
          <cell r="B12">
            <v>214104</v>
          </cell>
          <cell r="C12" t="str">
            <v>BELETTE määrdejuust naturaalne 250g</v>
          </cell>
          <cell r="D12">
            <v>2.69</v>
          </cell>
        </row>
        <row r="13">
          <cell r="B13">
            <v>214105</v>
          </cell>
          <cell r="C13" t="str">
            <v>BELETTE määrdejuust paprika-ürdi 250g</v>
          </cell>
          <cell r="D13">
            <v>2.69</v>
          </cell>
        </row>
        <row r="14">
          <cell r="B14">
            <v>208041</v>
          </cell>
          <cell r="C14" t="str">
            <v>BORDS EVE margariin 250g</v>
          </cell>
          <cell r="D14">
            <v>1.25</v>
          </cell>
        </row>
        <row r="15">
          <cell r="B15">
            <v>308050</v>
          </cell>
          <cell r="C15" t="str">
            <v>Bosto riis 1kg 8*125g</v>
          </cell>
          <cell r="D15">
            <v>3.32</v>
          </cell>
        </row>
        <row r="16">
          <cell r="B16">
            <v>308010</v>
          </cell>
          <cell r="C16" t="str">
            <v>Bosto riis 500g 4*125</v>
          </cell>
          <cell r="D16">
            <v>1.72</v>
          </cell>
        </row>
        <row r="17">
          <cell r="B17">
            <v>308030</v>
          </cell>
          <cell r="C17" t="str">
            <v>Bosto riis Mediterrano 2*250g</v>
          </cell>
          <cell r="D17">
            <v>3.14</v>
          </cell>
        </row>
        <row r="18">
          <cell r="B18">
            <v>308028</v>
          </cell>
          <cell r="C18" t="str">
            <v>Bosto riis pruun 4*125g</v>
          </cell>
          <cell r="D18">
            <v>1.84</v>
          </cell>
        </row>
        <row r="19">
          <cell r="B19">
            <v>308013</v>
          </cell>
          <cell r="C19" t="str">
            <v>BV Aeduba Veski Mati 1kg</v>
          </cell>
          <cell r="D19">
            <v>2.86</v>
          </cell>
        </row>
        <row r="20">
          <cell r="B20">
            <v>308059</v>
          </cell>
          <cell r="C20" t="str">
            <v>BV Hernes 500g</v>
          </cell>
          <cell r="D20">
            <v>0.69</v>
          </cell>
        </row>
        <row r="21">
          <cell r="B21">
            <v>308029</v>
          </cell>
          <cell r="C21" t="str">
            <v>BV Hernes lihvimata 1kg</v>
          </cell>
          <cell r="D21">
            <v>1.29</v>
          </cell>
        </row>
        <row r="22">
          <cell r="B22">
            <v>308021</v>
          </cell>
          <cell r="C22" t="str">
            <v>BV Hirss Veski Mati 1kg</v>
          </cell>
          <cell r="D22">
            <v>1.68</v>
          </cell>
        </row>
        <row r="23">
          <cell r="B23">
            <v>306001</v>
          </cell>
          <cell r="C23" t="str">
            <v>BV Kiirkaerahelbed 400g</v>
          </cell>
          <cell r="D23">
            <v>0.88</v>
          </cell>
        </row>
        <row r="24">
          <cell r="B24">
            <v>305119</v>
          </cell>
          <cell r="C24" t="str">
            <v>BV Makar. Keerdmakaron 500g</v>
          </cell>
          <cell r="D24">
            <v>0.99</v>
          </cell>
        </row>
        <row r="25">
          <cell r="B25">
            <v>305189</v>
          </cell>
          <cell r="C25" t="str">
            <v>BV Makar. Sarveke 500g</v>
          </cell>
          <cell r="D25">
            <v>0.99</v>
          </cell>
        </row>
        <row r="26">
          <cell r="B26">
            <v>305190</v>
          </cell>
          <cell r="C26" t="str">
            <v>BV Makar. Spaghetti 500g</v>
          </cell>
          <cell r="D26">
            <v>0.99</v>
          </cell>
        </row>
        <row r="27">
          <cell r="B27">
            <v>305114</v>
          </cell>
          <cell r="C27" t="str">
            <v>BV Makar. Spiraalid 500g</v>
          </cell>
          <cell r="D27">
            <v>0.99</v>
          </cell>
        </row>
        <row r="28">
          <cell r="B28">
            <v>305117</v>
          </cell>
          <cell r="C28" t="str">
            <v>BV Makar. Vermicelli 500g</v>
          </cell>
          <cell r="D28">
            <v>0.99</v>
          </cell>
        </row>
        <row r="29">
          <cell r="B29">
            <v>306000</v>
          </cell>
          <cell r="C29" t="str">
            <v>BV Puder 4-vilja 500g</v>
          </cell>
          <cell r="D29">
            <v>1.1000000000000001</v>
          </cell>
        </row>
        <row r="30">
          <cell r="B30">
            <v>305075</v>
          </cell>
          <cell r="C30" t="str">
            <v>CERBONA 500g Keerdmak.</v>
          </cell>
          <cell r="D30">
            <v>0.83</v>
          </cell>
        </row>
        <row r="31">
          <cell r="B31">
            <v>305054</v>
          </cell>
          <cell r="C31" t="str">
            <v>CERBONA 500g Makaron</v>
          </cell>
          <cell r="D31">
            <v>0.83</v>
          </cell>
        </row>
        <row r="32">
          <cell r="B32">
            <v>305076</v>
          </cell>
          <cell r="C32" t="str">
            <v>CERBONA 500g Salatimak.</v>
          </cell>
          <cell r="D32">
            <v>0.83</v>
          </cell>
        </row>
        <row r="33">
          <cell r="B33">
            <v>215004</v>
          </cell>
          <cell r="C33" t="str">
            <v>CremeB kreveti 170g</v>
          </cell>
          <cell r="D33">
            <v>2.58</v>
          </cell>
        </row>
        <row r="34">
          <cell r="B34">
            <v>215000</v>
          </cell>
          <cell r="C34" t="str">
            <v>CremeB küüslaugu 100g</v>
          </cell>
          <cell r="D34">
            <v>1.42</v>
          </cell>
        </row>
        <row r="35">
          <cell r="B35">
            <v>215002</v>
          </cell>
          <cell r="C35" t="str">
            <v>CremeB küüslaugu 170g</v>
          </cell>
          <cell r="D35">
            <v>2.27</v>
          </cell>
        </row>
        <row r="36">
          <cell r="B36">
            <v>215008</v>
          </cell>
          <cell r="C36" t="str">
            <v>CremeB murulaugu 170g</v>
          </cell>
          <cell r="D36">
            <v>2.27</v>
          </cell>
        </row>
        <row r="37">
          <cell r="B37">
            <v>215020</v>
          </cell>
          <cell r="C37" t="str">
            <v>CremeB murulaugu 250g</v>
          </cell>
          <cell r="D37">
            <v>2.91</v>
          </cell>
        </row>
        <row r="38">
          <cell r="B38">
            <v>215017</v>
          </cell>
          <cell r="C38" t="str">
            <v>CremeB naturell 250g</v>
          </cell>
          <cell r="D38">
            <v>2.91</v>
          </cell>
        </row>
        <row r="39">
          <cell r="B39">
            <v>208016</v>
          </cell>
          <cell r="C39" t="str">
            <v>DELMA margariin 250g karbis</v>
          </cell>
          <cell r="D39">
            <v>0.92</v>
          </cell>
        </row>
        <row r="40">
          <cell r="B40">
            <v>208021</v>
          </cell>
          <cell r="C40" t="str">
            <v>DELMA margariin 250g paberis</v>
          </cell>
          <cell r="D40">
            <v>0.89</v>
          </cell>
        </row>
        <row r="41">
          <cell r="B41">
            <v>208022</v>
          </cell>
          <cell r="C41" t="str">
            <v>DELMA margariin 500g</v>
          </cell>
          <cell r="D41">
            <v>1.61</v>
          </cell>
        </row>
        <row r="42">
          <cell r="B42">
            <v>107012</v>
          </cell>
          <cell r="C42" t="str">
            <v>EHRMANNJogurt Extra metsm/aprik.125g</v>
          </cell>
          <cell r="D42">
            <v>0.72</v>
          </cell>
        </row>
        <row r="43">
          <cell r="B43">
            <v>107006</v>
          </cell>
          <cell r="C43" t="str">
            <v>EHRMANNJogurt Extra must/virsik 125g</v>
          </cell>
          <cell r="D43">
            <v>0.72</v>
          </cell>
        </row>
        <row r="44">
          <cell r="B44">
            <v>107007</v>
          </cell>
          <cell r="C44" t="str">
            <v>EHRMANNJogurt Extra õ-pirni/maasika</v>
          </cell>
          <cell r="D44">
            <v>0.72</v>
          </cell>
        </row>
        <row r="45">
          <cell r="B45">
            <v>309011</v>
          </cell>
          <cell r="C45" t="str">
            <v>Fariinisuhkur pruun Apetit 500g</v>
          </cell>
          <cell r="D45">
            <v>1.45</v>
          </cell>
        </row>
        <row r="46">
          <cell r="B46">
            <v>309010</v>
          </cell>
          <cell r="C46" t="str">
            <v>Fruktoossuhkur 500 g</v>
          </cell>
          <cell r="D46">
            <v>6.48</v>
          </cell>
        </row>
        <row r="47">
          <cell r="B47">
            <v>208030</v>
          </cell>
          <cell r="C47" t="str">
            <v>HUSHALLS EVE küpsetusmargariin 1kg</v>
          </cell>
          <cell r="D47">
            <v>3.39</v>
          </cell>
        </row>
        <row r="48">
          <cell r="B48">
            <v>214007</v>
          </cell>
          <cell r="C48" t="str">
            <v>Juustuviiliud Chester 150g</v>
          </cell>
          <cell r="D48">
            <v>1.62</v>
          </cell>
        </row>
        <row r="49">
          <cell r="B49">
            <v>214008</v>
          </cell>
          <cell r="C49" t="str">
            <v>Juustuviilud Emmentaler 150g</v>
          </cell>
          <cell r="D49">
            <v>1.84</v>
          </cell>
        </row>
        <row r="50">
          <cell r="B50">
            <v>214000</v>
          </cell>
          <cell r="C50" t="str">
            <v>Juustuviilud Sandwich 150g</v>
          </cell>
          <cell r="D50">
            <v>1.63</v>
          </cell>
        </row>
        <row r="51">
          <cell r="B51">
            <v>214009</v>
          </cell>
          <cell r="C51" t="str">
            <v>Juustuviilud Toast 150g</v>
          </cell>
          <cell r="D51">
            <v>1.66</v>
          </cell>
        </row>
        <row r="52">
          <cell r="B52">
            <v>101090</v>
          </cell>
          <cell r="C52" t="str">
            <v>Kohvikoor 12%  10*10g</v>
          </cell>
          <cell r="D52">
            <v>0.96</v>
          </cell>
        </row>
        <row r="53">
          <cell r="B53">
            <v>101180</v>
          </cell>
          <cell r="C53" t="str">
            <v>Kond.piim kakaoga 400g Läti</v>
          </cell>
          <cell r="D53">
            <v>2.11</v>
          </cell>
        </row>
        <row r="54">
          <cell r="B54">
            <v>101181</v>
          </cell>
          <cell r="C54" t="str">
            <v>Kond.piim kohviga 400g Läti</v>
          </cell>
          <cell r="D54">
            <v>2.46</v>
          </cell>
        </row>
        <row r="55">
          <cell r="B55">
            <v>101094</v>
          </cell>
          <cell r="C55" t="str">
            <v>Kooreasendaja CARMEN 100g</v>
          </cell>
          <cell r="D55">
            <v>1.08</v>
          </cell>
        </row>
        <row r="56">
          <cell r="B56">
            <v>101100</v>
          </cell>
          <cell r="C56" t="str">
            <v>Kooreasendaja CEBE 250g</v>
          </cell>
          <cell r="D56">
            <v>2.54</v>
          </cell>
        </row>
        <row r="57">
          <cell r="B57">
            <v>209028</v>
          </cell>
          <cell r="C57" t="str">
            <v>LESIEUR Taimeõli 1l</v>
          </cell>
          <cell r="D57">
            <v>2.61</v>
          </cell>
        </row>
        <row r="58">
          <cell r="B58">
            <v>209037</v>
          </cell>
          <cell r="C58" t="str">
            <v>Mega Taimeõli 1l</v>
          </cell>
          <cell r="D58">
            <v>2.2000000000000002</v>
          </cell>
        </row>
        <row r="59">
          <cell r="B59">
            <v>311016</v>
          </cell>
          <cell r="C59" t="str">
            <v>MIKAADO Tuhksuhkur kollane 100g</v>
          </cell>
          <cell r="D59">
            <v>1.19</v>
          </cell>
        </row>
        <row r="60">
          <cell r="B60">
            <v>311018</v>
          </cell>
          <cell r="C60" t="str">
            <v>MIKAADO Tuhksuhkur oranz 100g</v>
          </cell>
          <cell r="D60">
            <v>1.19</v>
          </cell>
        </row>
        <row r="61">
          <cell r="B61">
            <v>311017</v>
          </cell>
          <cell r="C61" t="str">
            <v>MIKAADO Tuhksuhkur roheline 100g</v>
          </cell>
          <cell r="D61">
            <v>1.19</v>
          </cell>
        </row>
        <row r="62">
          <cell r="B62">
            <v>306028</v>
          </cell>
          <cell r="C62" t="str">
            <v>NORDIC Kaerahelv.kliidega 600g</v>
          </cell>
          <cell r="D62">
            <v>1.53</v>
          </cell>
        </row>
        <row r="63">
          <cell r="B63">
            <v>222021</v>
          </cell>
          <cell r="C63" t="str">
            <v>NORDIC Kartulipuder 210g</v>
          </cell>
          <cell r="D63">
            <v>1.87</v>
          </cell>
        </row>
        <row r="64">
          <cell r="B64">
            <v>230023</v>
          </cell>
          <cell r="C64" t="str">
            <v>NORDIC Laste 4-viljapuder 2*80g</v>
          </cell>
          <cell r="D64">
            <v>1.85</v>
          </cell>
        </row>
        <row r="65">
          <cell r="B65">
            <v>230024</v>
          </cell>
          <cell r="C65" t="str">
            <v>NORDIC Laste kaerapuder 2*80g</v>
          </cell>
          <cell r="D65">
            <v>1.85</v>
          </cell>
        </row>
        <row r="66">
          <cell r="B66">
            <v>230026</v>
          </cell>
          <cell r="C66" t="str">
            <v>NORDIC Laste Kibuvitsa/meepuder 2*80g</v>
          </cell>
          <cell r="D66">
            <v>2.37</v>
          </cell>
        </row>
        <row r="67">
          <cell r="B67">
            <v>230025</v>
          </cell>
          <cell r="C67" t="str">
            <v>NORDIC Laste metsamarjapuder 2*80g</v>
          </cell>
          <cell r="D67">
            <v>2.37</v>
          </cell>
        </row>
        <row r="68">
          <cell r="B68">
            <v>308042</v>
          </cell>
          <cell r="C68" t="str">
            <v>NORDIC Manna 1kg</v>
          </cell>
          <cell r="D68">
            <v>1.41</v>
          </cell>
        </row>
        <row r="69">
          <cell r="B69">
            <v>301126</v>
          </cell>
          <cell r="C69" t="str">
            <v>NORDIC Nisuhelbed 700 g</v>
          </cell>
          <cell r="D69">
            <v>1.59</v>
          </cell>
        </row>
        <row r="70">
          <cell r="B70">
            <v>306012</v>
          </cell>
          <cell r="C70" t="str">
            <v>NORDIC Puder 4-vilja 700g</v>
          </cell>
          <cell r="D70">
            <v>1.59</v>
          </cell>
        </row>
        <row r="71">
          <cell r="B71">
            <v>306013</v>
          </cell>
          <cell r="C71" t="str">
            <v>NORDIC Riisihelbed 800 g</v>
          </cell>
          <cell r="D71">
            <v>2.4</v>
          </cell>
        </row>
        <row r="72">
          <cell r="B72">
            <v>301139</v>
          </cell>
          <cell r="C72" t="str">
            <v>NORDIC Rukkihelbed 700g</v>
          </cell>
          <cell r="D72">
            <v>1.59</v>
          </cell>
        </row>
        <row r="73">
          <cell r="B73">
            <v>209039</v>
          </cell>
          <cell r="C73" t="str">
            <v>OLIVIA rapsiõli 1l</v>
          </cell>
          <cell r="D73">
            <v>2.0699999999999998</v>
          </cell>
        </row>
        <row r="74">
          <cell r="B74">
            <v>305081</v>
          </cell>
          <cell r="C74" t="str">
            <v>PASTA ZARA keerd nr.61</v>
          </cell>
          <cell r="D74">
            <v>1.3</v>
          </cell>
        </row>
        <row r="75">
          <cell r="B75">
            <v>305083</v>
          </cell>
          <cell r="C75" t="str">
            <v>PASTA ZARA lipsud</v>
          </cell>
          <cell r="D75">
            <v>1.48</v>
          </cell>
        </row>
        <row r="76">
          <cell r="B76">
            <v>305079</v>
          </cell>
          <cell r="C76" t="str">
            <v>PASTA ZARA sarv nr.27</v>
          </cell>
          <cell r="D76">
            <v>1.3</v>
          </cell>
        </row>
        <row r="77">
          <cell r="B77">
            <v>305080</v>
          </cell>
          <cell r="C77" t="str">
            <v>PASTA ZARA spiraal nr.57</v>
          </cell>
          <cell r="D77">
            <v>1.3</v>
          </cell>
        </row>
        <row r="78">
          <cell r="B78">
            <v>311022</v>
          </cell>
          <cell r="C78" t="str">
            <v>Raesuhkur 250g APETIT</v>
          </cell>
          <cell r="D78">
            <v>0.96</v>
          </cell>
        </row>
        <row r="79">
          <cell r="B79">
            <v>208020</v>
          </cell>
          <cell r="C79" t="str">
            <v>RAMA margariin 400g</v>
          </cell>
          <cell r="D79">
            <v>1.79</v>
          </cell>
        </row>
        <row r="80">
          <cell r="B80">
            <v>209056</v>
          </cell>
          <cell r="C80" t="str">
            <v>RISSO Oliiviõli Extra Virgin 0,5l</v>
          </cell>
          <cell r="D80">
            <v>7.96</v>
          </cell>
        </row>
        <row r="81">
          <cell r="B81">
            <v>209012</v>
          </cell>
          <cell r="C81" t="str">
            <v>RISSO päevalilleõli 1l</v>
          </cell>
          <cell r="D81">
            <v>3.35</v>
          </cell>
        </row>
        <row r="82">
          <cell r="B82">
            <v>209011</v>
          </cell>
          <cell r="C82" t="str">
            <v>RISSO sojaõli 1l</v>
          </cell>
          <cell r="D82">
            <v>2.94</v>
          </cell>
        </row>
        <row r="83">
          <cell r="B83">
            <v>209013</v>
          </cell>
          <cell r="C83" t="str">
            <v>RISSO taimeõli 1l</v>
          </cell>
          <cell r="D83">
            <v>2.94</v>
          </cell>
        </row>
        <row r="84">
          <cell r="B84">
            <v>209010</v>
          </cell>
          <cell r="C84" t="str">
            <v>RISSO toiduõli 1l</v>
          </cell>
          <cell r="D84">
            <v>2.4</v>
          </cell>
        </row>
        <row r="85">
          <cell r="B85">
            <v>208044</v>
          </cell>
          <cell r="C85" t="str">
            <v>RUNDA BORDS margariin 400g</v>
          </cell>
          <cell r="D85">
            <v>1.79</v>
          </cell>
        </row>
        <row r="86">
          <cell r="B86">
            <v>311042</v>
          </cell>
          <cell r="C86" t="str">
            <v>SAMARIN apelsini 18tk</v>
          </cell>
          <cell r="D86">
            <v>4.25</v>
          </cell>
        </row>
        <row r="87">
          <cell r="B87">
            <v>311041</v>
          </cell>
          <cell r="C87" t="str">
            <v>SAMARIN looduslik 18tk</v>
          </cell>
          <cell r="D87">
            <v>3.78</v>
          </cell>
        </row>
        <row r="88">
          <cell r="B88">
            <v>311046</v>
          </cell>
          <cell r="C88" t="str">
            <v>Soome suhkur 1kg</v>
          </cell>
          <cell r="D88">
            <v>0.98</v>
          </cell>
        </row>
        <row r="89">
          <cell r="B89">
            <v>312011</v>
          </cell>
          <cell r="C89" t="str">
            <v>Suhkruasendaja  Huxol vedel 200g</v>
          </cell>
          <cell r="D89">
            <v>3.51</v>
          </cell>
        </row>
        <row r="90">
          <cell r="B90">
            <v>311048</v>
          </cell>
          <cell r="C90" t="str">
            <v>Suhkruasendaja CANDEREL (100 tabl)</v>
          </cell>
          <cell r="D90">
            <v>3.27</v>
          </cell>
        </row>
        <row r="91">
          <cell r="B91">
            <v>220417</v>
          </cell>
          <cell r="C91" t="str">
            <v>Sul.juust Merevaik paprikaga 100g</v>
          </cell>
          <cell r="D91">
            <v>1.1599999999999999</v>
          </cell>
        </row>
        <row r="92">
          <cell r="B92">
            <v>214038</v>
          </cell>
          <cell r="C92" t="str">
            <v>Sul.juust Merevaik salaami 200gr</v>
          </cell>
          <cell r="D92">
            <v>2.19</v>
          </cell>
        </row>
        <row r="93">
          <cell r="B93">
            <v>214137</v>
          </cell>
          <cell r="C93" t="str">
            <v>Sul.juust Merevaik salaamiga 100g</v>
          </cell>
          <cell r="D93">
            <v>1.1599999999999999</v>
          </cell>
        </row>
        <row r="94">
          <cell r="B94">
            <v>220421</v>
          </cell>
          <cell r="C94" t="str">
            <v>Sul.juust Merevaik shampinjonidega 100g</v>
          </cell>
          <cell r="D94">
            <v>1.1599999999999999</v>
          </cell>
        </row>
        <row r="95">
          <cell r="B95">
            <v>220418</v>
          </cell>
          <cell r="C95" t="str">
            <v>Sul.juust Merevaik singiga 100g</v>
          </cell>
          <cell r="D95">
            <v>1.1599999999999999</v>
          </cell>
        </row>
        <row r="96">
          <cell r="B96">
            <v>220419</v>
          </cell>
          <cell r="C96" t="str">
            <v>Sul.juust Merevaik tilliga 100g</v>
          </cell>
          <cell r="D96">
            <v>1.1599999999999999</v>
          </cell>
        </row>
        <row r="97">
          <cell r="B97">
            <v>214052</v>
          </cell>
          <cell r="C97" t="str">
            <v>Sul.juust MIX 200 g</v>
          </cell>
          <cell r="D97">
            <v>2.4900000000000002</v>
          </cell>
        </row>
        <row r="98">
          <cell r="B98">
            <v>305000</v>
          </cell>
          <cell r="C98" t="str">
            <v>TORINO sarveke 400 g</v>
          </cell>
          <cell r="D98">
            <v>0.78</v>
          </cell>
        </row>
        <row r="99">
          <cell r="B99">
            <v>305001</v>
          </cell>
          <cell r="C99" t="str">
            <v>TORINO spiraal  400 g</v>
          </cell>
          <cell r="D99">
            <v>0.83</v>
          </cell>
        </row>
        <row r="100">
          <cell r="B100">
            <v>311023</v>
          </cell>
          <cell r="C100" t="str">
            <v>Tükisuhkur tume Apetit 500g</v>
          </cell>
          <cell r="D100">
            <v>2.08</v>
          </cell>
        </row>
        <row r="101">
          <cell r="B101">
            <v>220150</v>
          </cell>
          <cell r="C101" t="str">
            <v>UNCLE BEN`S 10min k.riis 250g</v>
          </cell>
          <cell r="D101">
            <v>1.41</v>
          </cell>
        </row>
        <row r="102">
          <cell r="B102">
            <v>220149</v>
          </cell>
          <cell r="C102" t="str">
            <v>UNCLE BEN`S 20min pik.riis 500</v>
          </cell>
          <cell r="D102">
            <v>2.11</v>
          </cell>
        </row>
        <row r="103">
          <cell r="B103">
            <v>308066</v>
          </cell>
          <cell r="C103" t="str">
            <v>VALDO riis Basmati 0,5kg</v>
          </cell>
          <cell r="D103">
            <v>2.35</v>
          </cell>
        </row>
        <row r="104">
          <cell r="B104">
            <v>308064</v>
          </cell>
          <cell r="C104" t="str">
            <v>VALDO riis Ekstra 0,5kg</v>
          </cell>
          <cell r="D104">
            <v>1.52</v>
          </cell>
        </row>
        <row r="105">
          <cell r="B105">
            <v>305005</v>
          </cell>
          <cell r="C105" t="str">
            <v>VILLA ITALIA Makar. Cavatappi 50</v>
          </cell>
          <cell r="D105">
            <v>1.22</v>
          </cell>
        </row>
        <row r="106">
          <cell r="B106">
            <v>305011</v>
          </cell>
          <cell r="C106" t="str">
            <v>VILLA ITALIA Makar. Ditali 500g</v>
          </cell>
          <cell r="D106">
            <v>1.22</v>
          </cell>
        </row>
        <row r="107">
          <cell r="B107">
            <v>305012</v>
          </cell>
          <cell r="C107" t="str">
            <v>VILLA ITALIA Makar. Farfalle 500 LIPS</v>
          </cell>
          <cell r="D107">
            <v>1.61</v>
          </cell>
        </row>
        <row r="108">
          <cell r="B108">
            <v>305002</v>
          </cell>
          <cell r="C108" t="str">
            <v>VILLA ITALIA Makar. Fusilli</v>
          </cell>
          <cell r="D108">
            <v>1.22</v>
          </cell>
        </row>
        <row r="109">
          <cell r="B109">
            <v>305010</v>
          </cell>
          <cell r="C109" t="str">
            <v>VILLA ITALIA Makar. Gnocchi 500g</v>
          </cell>
          <cell r="D109">
            <v>1.22</v>
          </cell>
        </row>
        <row r="110">
          <cell r="B110">
            <v>305013</v>
          </cell>
          <cell r="C110" t="str">
            <v>VILLA ITALIA Makar. Lasagne laast</v>
          </cell>
          <cell r="D110">
            <v>2.39</v>
          </cell>
        </row>
        <row r="111">
          <cell r="B111">
            <v>305003</v>
          </cell>
          <cell r="C111" t="str">
            <v>VILLA ITALIA Makar. Lumachine sar</v>
          </cell>
          <cell r="D111">
            <v>1.22</v>
          </cell>
        </row>
        <row r="112">
          <cell r="B112">
            <v>305007</v>
          </cell>
          <cell r="C112" t="str">
            <v>VILLA ITALIA Makar. Penne ziti rigate</v>
          </cell>
          <cell r="D112">
            <v>1.22</v>
          </cell>
        </row>
        <row r="113">
          <cell r="B113">
            <v>305004</v>
          </cell>
          <cell r="C113" t="str">
            <v>VILLA ITALIA Makar. Semi di cicoria</v>
          </cell>
          <cell r="D113">
            <v>1.22</v>
          </cell>
        </row>
        <row r="114">
          <cell r="B114">
            <v>305006</v>
          </cell>
          <cell r="C114" t="str">
            <v>VILLA ITALIA Makar. Spaghetti 500</v>
          </cell>
          <cell r="D114">
            <v>1.22</v>
          </cell>
        </row>
        <row r="115">
          <cell r="B115">
            <v>311037</v>
          </cell>
          <cell r="C115" t="str">
            <v>VILMA Tuhksuhkur 300g</v>
          </cell>
          <cell r="D115">
            <v>0.61</v>
          </cell>
        </row>
        <row r="116">
          <cell r="B116">
            <v>208010</v>
          </cell>
          <cell r="C116" t="str">
            <v>VOIMIX margariin 400g</v>
          </cell>
          <cell r="D116">
            <v>1.47</v>
          </cell>
        </row>
        <row r="117">
          <cell r="B117">
            <v>214302</v>
          </cell>
          <cell r="C117" t="str">
            <v>VONK Juustuviilud Creamy 150 g</v>
          </cell>
          <cell r="D117">
            <v>1.79</v>
          </cell>
        </row>
        <row r="118">
          <cell r="B118">
            <v>214304</v>
          </cell>
          <cell r="C118" t="str">
            <v>VONK Juustuviilud Dutch 150 g</v>
          </cell>
          <cell r="D118">
            <v>1.79</v>
          </cell>
        </row>
        <row r="119">
          <cell r="B119">
            <v>214309</v>
          </cell>
          <cell r="C119" t="str">
            <v>VONK Juustuviilud Mild 150g</v>
          </cell>
          <cell r="D119">
            <v>1.79</v>
          </cell>
        </row>
        <row r="120">
          <cell r="B120">
            <v>214308</v>
          </cell>
          <cell r="C120" t="str">
            <v>VONK Juustuviilud natural 150g</v>
          </cell>
          <cell r="D120">
            <v>1.58</v>
          </cell>
        </row>
      </sheetData>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L1"/>
      <sheetName val="Müügid"/>
      <sheetName val="Hinnakiri"/>
      <sheetName val="Isikud"/>
      <sheetName val="FunctionIfS "/>
      <sheetName val="YL5"/>
      <sheetName val="Sheet2"/>
      <sheetName val="Isikud_2"/>
      <sheetName val="abi "/>
    </sheetNames>
    <sheetDataSet>
      <sheetData sheetId="0"/>
      <sheetData sheetId="1"/>
      <sheetData sheetId="2"/>
      <sheetData sheetId="3"/>
      <sheetData sheetId="4"/>
      <sheetData sheetId="5"/>
      <sheetData sheetId="6"/>
      <sheetData sheetId="7"/>
      <sheetData sheetId="8">
        <row r="7">
          <cell r="C7" t="str">
            <v>Harjumaa</v>
          </cell>
          <cell r="E7" t="str">
            <v>Kuressaare</v>
          </cell>
        </row>
        <row r="8">
          <cell r="C8" t="str">
            <v>Harjumaa, Harku Vald</v>
          </cell>
          <cell r="E8" t="str">
            <v>Maardu</v>
          </cell>
        </row>
        <row r="9">
          <cell r="C9" t="str">
            <v>Harjumaa, Kuusalu Vald</v>
          </cell>
          <cell r="E9" t="str">
            <v>Narva</v>
          </cell>
        </row>
        <row r="10">
          <cell r="C10" t="str">
            <v>Harjumaa, Saku Alevik</v>
          </cell>
          <cell r="E10" t="str">
            <v>Pärnu</v>
          </cell>
        </row>
        <row r="11">
          <cell r="C11" t="str">
            <v>Harjumaa, Saku Vald</v>
          </cell>
          <cell r="E11" t="str">
            <v>Tallinn</v>
          </cell>
        </row>
        <row r="12">
          <cell r="C12" t="str">
            <v>Harjumaa, Saue Vald</v>
          </cell>
          <cell r="E12" t="str">
            <v>Tartu</v>
          </cell>
        </row>
        <row r="13">
          <cell r="C13" t="str">
            <v>Harjumaa, Viimsi Vald</v>
          </cell>
        </row>
        <row r="14">
          <cell r="C14" t="str">
            <v>Kuressaare</v>
          </cell>
        </row>
        <row r="15">
          <cell r="C15" t="str">
            <v>Maardu</v>
          </cell>
        </row>
        <row r="16">
          <cell r="C16" t="str">
            <v>Narva</v>
          </cell>
        </row>
        <row r="17">
          <cell r="C17" t="str">
            <v>Põlvamaa, Kõlleste Vald</v>
          </cell>
        </row>
        <row r="18">
          <cell r="C18" t="str">
            <v>Pärnu</v>
          </cell>
        </row>
        <row r="19">
          <cell r="C19" t="str">
            <v>Pärnumaa, Audru Vald</v>
          </cell>
        </row>
        <row r="20">
          <cell r="C20" t="str">
            <v>Tallinn</v>
          </cell>
        </row>
        <row r="21">
          <cell r="C21" t="str">
            <v>Tartu</v>
          </cell>
        </row>
        <row r="22">
          <cell r="C22" t="str">
            <v>Tartumaa</v>
          </cell>
        </row>
        <row r="23">
          <cell r="C23" t="str">
            <v>Tartumaa, Luunja Vald</v>
          </cell>
        </row>
        <row r="24">
          <cell r="C24" t="str">
            <v>Viljandimaa, Suure-Jaani Vald</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L1"/>
      <sheetName val="Müügid"/>
      <sheetName val="Hinnakiri"/>
      <sheetName val="Isikud"/>
      <sheetName val="FunctionIfS "/>
      <sheetName val="YL5"/>
      <sheetName val="Sheet2"/>
      <sheetName val="Isikud_2"/>
      <sheetName val="abi "/>
    </sheetNames>
    <sheetDataSet>
      <sheetData sheetId="0"/>
      <sheetData sheetId="1"/>
      <sheetData sheetId="2"/>
      <sheetData sheetId="3"/>
      <sheetData sheetId="4"/>
      <sheetData sheetId="5"/>
      <sheetData sheetId="6"/>
      <sheetData sheetId="7"/>
      <sheetData sheetId="8">
        <row r="7">
          <cell r="C7" t="str">
            <v>Harjumaa</v>
          </cell>
          <cell r="E7" t="str">
            <v>Kuressaare</v>
          </cell>
        </row>
        <row r="8">
          <cell r="C8" t="str">
            <v>Harjumaa, Harku Vald</v>
          </cell>
          <cell r="E8" t="str">
            <v>Maardu</v>
          </cell>
        </row>
        <row r="9">
          <cell r="C9" t="str">
            <v>Harjumaa, Kuusalu Vald</v>
          </cell>
          <cell r="E9" t="str">
            <v>Narva</v>
          </cell>
        </row>
        <row r="10">
          <cell r="C10" t="str">
            <v>Harjumaa, Saku Alevik</v>
          </cell>
          <cell r="E10" t="str">
            <v>Pärnu</v>
          </cell>
        </row>
        <row r="11">
          <cell r="C11" t="str">
            <v>Harjumaa, Saku Vald</v>
          </cell>
          <cell r="E11" t="str">
            <v>Tallinn</v>
          </cell>
        </row>
        <row r="12">
          <cell r="C12" t="str">
            <v>Harjumaa, Saue Vald</v>
          </cell>
          <cell r="E12" t="str">
            <v>Tartu</v>
          </cell>
        </row>
        <row r="13">
          <cell r="C13" t="str">
            <v>Harjumaa, Viimsi Vald</v>
          </cell>
        </row>
        <row r="14">
          <cell r="C14" t="str">
            <v>Kuressaare</v>
          </cell>
        </row>
        <row r="15">
          <cell r="C15" t="str">
            <v>Maardu</v>
          </cell>
        </row>
        <row r="16">
          <cell r="C16" t="str">
            <v>Narva</v>
          </cell>
        </row>
        <row r="17">
          <cell r="C17" t="str">
            <v>Põlvamaa, Kõlleste Vald</v>
          </cell>
        </row>
        <row r="18">
          <cell r="C18" t="str">
            <v>Pärnu</v>
          </cell>
        </row>
        <row r="19">
          <cell r="C19" t="str">
            <v>Pärnumaa, Audru Vald</v>
          </cell>
        </row>
        <row r="20">
          <cell r="C20" t="str">
            <v>Tallinn</v>
          </cell>
        </row>
        <row r="21">
          <cell r="C21" t="str">
            <v>Tartu</v>
          </cell>
        </row>
        <row r="22">
          <cell r="C22" t="str">
            <v>Tartumaa</v>
          </cell>
        </row>
        <row r="23">
          <cell r="C23" t="str">
            <v>Tartumaa, Luunja Vald</v>
          </cell>
        </row>
        <row r="24">
          <cell r="C24" t="str">
            <v>Viljandimaa, Suure-Jaani Vald</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itel"/>
      <sheetName val="Loogika ja IF_Fun"/>
      <sheetName val="Tingimused"/>
      <sheetName val="IF"/>
      <sheetName val="Palk"/>
      <sheetName val="Valideerimine_YL"/>
      <sheetName val="Aeg"/>
      <sheetName val="Tekst"/>
      <sheetName val="Lisad"/>
      <sheetName val="Loogikaavald"/>
      <sheetName val="And_Or"/>
      <sheetName val="IF-fun"/>
      <sheetName val="Valideerimine"/>
      <sheetName val="TekstFun"/>
      <sheetName val="AegFun"/>
    </sheetNames>
    <sheetDataSet>
      <sheetData sheetId="0" refreshError="1"/>
      <sheetData sheetId="1" refreshError="1"/>
      <sheetData sheetId="2">
        <row r="5">
          <cell r="G5" t="str">
            <v>n</v>
          </cell>
        </row>
      </sheetData>
      <sheetData sheetId="3" refreshError="1"/>
      <sheetData sheetId="4" refreshError="1"/>
      <sheetData sheetId="5" refreshError="1"/>
      <sheetData sheetId="6" refreshError="1"/>
      <sheetData sheetId="7" refreshError="1"/>
      <sheetData sheetId="8" refreshError="1"/>
      <sheetData sheetId="9" refreshError="1"/>
      <sheetData sheetId="10">
        <row r="24">
          <cell r="D24" t="b">
            <v>1</v>
          </cell>
        </row>
        <row r="25">
          <cell r="D25" t="b">
            <v>0</v>
          </cell>
        </row>
      </sheetData>
      <sheetData sheetId="11" refreshError="1"/>
      <sheetData sheetId="12" refreshError="1"/>
      <sheetData sheetId="13" refreshError="1"/>
      <sheetData sheetId="1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g"/>
      <sheetName val="Sisukord"/>
      <sheetName val="Tab_Str"/>
      <sheetName val="Tab_Str_1"/>
      <sheetName val="Tab_Str_2"/>
      <sheetName val="Aadressid"/>
      <sheetName val="Laed_A"/>
      <sheetName val="Värvid"/>
      <sheetName val="Fun_XA"/>
      <sheetName val="Fun_XY_A1"/>
      <sheetName val="Kaubad_A"/>
      <sheetName val="Nimed"/>
      <sheetName val="Laed_N"/>
      <sheetName val="Gra1"/>
      <sheetName val="Table_1"/>
      <sheetName val="Laed_N (2)"/>
      <sheetName val="Laed_N (3)"/>
      <sheetName val="Table_2_1"/>
      <sheetName val="Table_2_2"/>
      <sheetName val="Hinnakiri"/>
      <sheetName val="Fun_tab1_N"/>
      <sheetName val="Fun_tab2_NT"/>
      <sheetName val="Fun_XY_N"/>
      <sheetName val="Värvimine_ÜP"/>
      <sheetName val="Ruumid"/>
      <sheetName val="Värvimine_tab"/>
      <sheetName val="Lisad"/>
      <sheetName val="Table_obj"/>
      <sheetName val="VLOOKUP"/>
      <sheetName val="Valideerimine"/>
      <sheetName val="Diagr_1"/>
      <sheetName val="Diagrammileht"/>
      <sheetName val="Addr_R1C1"/>
      <sheetName val="Kopeerimine"/>
      <sheetName val="Lohista"/>
      <sheetName val="Menüüd"/>
      <sheetName val="Nupud"/>
      <sheetName val="Ctrl_C_V"/>
      <sheetName val="abi"/>
      <sheetName val="Sheet1"/>
      <sheetName val="Sheet2"/>
    </sheetNames>
    <sheetDataSet>
      <sheetData sheetId="0"/>
      <sheetData sheetId="1"/>
      <sheetData sheetId="2"/>
      <sheetData sheetId="3"/>
      <sheetData sheetId="4"/>
      <sheetData sheetId="5"/>
      <sheetData sheetId="6"/>
      <sheetData sheetId="7">
        <row r="6">
          <cell r="B6" t="str">
            <v>VL_01</v>
          </cell>
        </row>
      </sheetData>
      <sheetData sheetId="8"/>
      <sheetData sheetId="9"/>
      <sheetData sheetId="10"/>
      <sheetData sheetId="11">
        <row r="17">
          <cell r="J17">
            <v>6</v>
          </cell>
        </row>
      </sheetData>
      <sheetData sheetId="12">
        <row r="6">
          <cell r="B6" t="str">
            <v>VL_13</v>
          </cell>
        </row>
      </sheetData>
      <sheetData sheetId="13" refreshError="1"/>
      <sheetData sheetId="14"/>
      <sheetData sheetId="15"/>
      <sheetData sheetId="16"/>
      <sheetData sheetId="17">
        <row r="22">
          <cell r="C22" t="str">
            <v>kask</v>
          </cell>
        </row>
      </sheetData>
      <sheetData sheetId="18"/>
      <sheetData sheetId="19">
        <row r="6">
          <cell r="B6" t="str">
            <v>haab</v>
          </cell>
        </row>
      </sheetData>
      <sheetData sheetId="20">
        <row r="6">
          <cell r="B6">
            <v>-10</v>
          </cell>
        </row>
      </sheetData>
      <sheetData sheetId="21"/>
      <sheetData sheetId="22">
        <row r="5">
          <cell r="B5">
            <v>2</v>
          </cell>
        </row>
      </sheetData>
      <sheetData sheetId="23"/>
      <sheetData sheetId="24">
        <row r="5">
          <cell r="B5" t="str">
            <v>R_101</v>
          </cell>
        </row>
      </sheetData>
      <sheetData sheetId="25">
        <row r="4">
          <cell r="J4">
            <v>0.1</v>
          </cell>
        </row>
        <row r="7">
          <cell r="I7">
            <v>6.9102000000000006</v>
          </cell>
        </row>
        <row r="8">
          <cell r="I8">
            <v>4.2904400000000003</v>
          </cell>
        </row>
        <row r="9">
          <cell r="I9">
            <v>6.1423999999999994</v>
          </cell>
        </row>
        <row r="10">
          <cell r="I10">
            <v>5.4222035999999996</v>
          </cell>
        </row>
        <row r="11">
          <cell r="I11">
            <v>5.6352000000000002</v>
          </cell>
        </row>
        <row r="12">
          <cell r="I12">
            <v>8.3580000000000005</v>
          </cell>
        </row>
        <row r="13">
          <cell r="I13">
            <v>3.1203199999999995</v>
          </cell>
        </row>
        <row r="14">
          <cell r="I14">
            <v>4.6067999999999998</v>
          </cell>
        </row>
        <row r="15">
          <cell r="I15">
            <v>6.014736000000001</v>
          </cell>
        </row>
      </sheetData>
      <sheetData sheetId="26"/>
      <sheetData sheetId="27"/>
      <sheetData sheetId="28"/>
      <sheetData sheetId="29"/>
      <sheetData sheetId="30"/>
      <sheetData sheetId="31" refreshError="1"/>
      <sheetData sheetId="32"/>
      <sheetData sheetId="33"/>
      <sheetData sheetId="34"/>
      <sheetData sheetId="35"/>
      <sheetData sheetId="36"/>
      <sheetData sheetId="37"/>
      <sheetData sheetId="38">
        <row r="5">
          <cell r="D5" t="str">
            <v>haab</v>
          </cell>
        </row>
      </sheetData>
      <sheetData sheetId="39"/>
      <sheetData sheetId="4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rmo" refreshedDate="45305.905876157405" createdVersion="8" refreshedVersion="8" minRefreshableVersion="3" recordCount="23" xr:uid="{9BC7F47F-E878-4C3B-B32D-7CEBD9A5AA38}">
  <cacheSource type="worksheet">
    <worksheetSource ref="K3:L26" sheet="Meeskond"/>
  </cacheSource>
  <cacheFields count="2">
    <cacheField name="Vanus" numFmtId="1">
      <sharedItems containsSemiMixedTypes="0" containsString="0" containsNumber="1" containsInteger="1" minValue="24" maxValue="41"/>
    </cacheField>
    <cacheField name="Vanusegrupp" numFmtId="0">
      <sharedItems count="3">
        <s v="26-30"/>
        <s v="üle 30"/>
        <s v="21-2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27"/>
    <x v="0"/>
  </r>
  <r>
    <n v="36"/>
    <x v="1"/>
  </r>
  <r>
    <n v="39"/>
    <x v="1"/>
  </r>
  <r>
    <n v="30"/>
    <x v="0"/>
  </r>
  <r>
    <n v="31"/>
    <x v="1"/>
  </r>
  <r>
    <n v="28"/>
    <x v="0"/>
  </r>
  <r>
    <n v="38"/>
    <x v="1"/>
  </r>
  <r>
    <n v="35"/>
    <x v="1"/>
  </r>
  <r>
    <n v="38"/>
    <x v="1"/>
  </r>
  <r>
    <n v="27"/>
    <x v="0"/>
  </r>
  <r>
    <n v="30"/>
    <x v="0"/>
  </r>
  <r>
    <n v="35"/>
    <x v="1"/>
  </r>
  <r>
    <n v="41"/>
    <x v="1"/>
  </r>
  <r>
    <n v="39"/>
    <x v="1"/>
  </r>
  <r>
    <n v="24"/>
    <x v="2"/>
  </r>
  <r>
    <n v="25"/>
    <x v="2"/>
  </r>
  <r>
    <n v="27"/>
    <x v="0"/>
  </r>
  <r>
    <n v="27"/>
    <x v="0"/>
  </r>
  <r>
    <n v="27"/>
    <x v="0"/>
  </r>
  <r>
    <n v="32"/>
    <x v="1"/>
  </r>
  <r>
    <n v="24"/>
    <x v="2"/>
  </r>
  <r>
    <n v="34"/>
    <x v="1"/>
  </r>
  <r>
    <n v="2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70C491-134F-463A-8EA2-7C7075E0AC11}" name="PivotTable-liigendtabel9" cacheId="0" applyNumberFormats="0" applyBorderFormats="0" applyFontFormats="0" applyPatternFormats="0" applyAlignmentFormats="0" applyWidthHeightFormats="1" dataCaption="Väärtused" updatedVersion="7" minRefreshableVersion="3" useAutoFormatting="1" itemPrintTitles="1" createdVersion="8" indent="0" outline="1" outlineData="1" multipleFieldFilters="0" chartFormat="9">
  <location ref="I28:J32" firstHeaderRow="1" firstDataRow="1" firstDataCol="1"/>
  <pivotFields count="2">
    <pivotField dataField="1" numFmtId="1" showAll="0"/>
    <pivotField axis="axisRow" showAll="0">
      <items count="4">
        <item x="2"/>
        <item x="0"/>
        <item x="1"/>
        <item t="default"/>
      </items>
    </pivotField>
  </pivotFields>
  <rowFields count="1">
    <field x="1"/>
  </rowFields>
  <rowItems count="4">
    <i>
      <x/>
    </i>
    <i>
      <x v="1"/>
    </i>
    <i>
      <x v="2"/>
    </i>
    <i t="grand">
      <x/>
    </i>
  </rowItems>
  <colItems count="1">
    <i/>
  </colItems>
  <dataFields count="1">
    <dataField name="Loendus kogusummast Vanus" fld="0" subtotal="count" baseField="1" baseItem="0"/>
  </dataFields>
  <chartFormats count="5">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0"/>
          </reference>
        </references>
      </pivotArea>
    </chartFormat>
    <chartFormat chart="1" format="2">
      <pivotArea type="data" outline="0" fieldPosition="0">
        <references count="2">
          <reference field="4294967294" count="1" selected="0">
            <x v="0"/>
          </reference>
          <reference field="1" count="1" selected="0">
            <x v="1"/>
          </reference>
        </references>
      </pivotArea>
    </chartFormat>
    <chartFormat chart="1" format="3">
      <pivotArea type="data" outline="0" fieldPosition="0">
        <references count="2">
          <reference field="4294967294" count="1" selected="0">
            <x v="0"/>
          </reference>
          <reference field="1" count="1" selected="0">
            <x v="2"/>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4BDEE0-1F0B-41AF-8C54-6DC41577E53A}" name="Table1" displayName="Table1" ref="A1:B10" totalsRowShown="0">
  <autoFilter ref="A1:B10" xr:uid="{4A4BDEE0-1F0B-41AF-8C54-6DC41577E53A}"/>
  <tableColumns count="2">
    <tableColumn id="1" xr3:uid="{8C777458-094B-4B23-8063-A6CFD2A8CCF9}" name="Vanus"/>
    <tableColumn id="2" xr3:uid="{CDA8108D-BE40-43C4-8CC3-D0EEB80329C6}" name="Vanusegrupp"/>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mments" Target="../comments3.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oleObject" Target="../embeddings/oleObject4.bin"/><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1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theme="9" tint="-0.249977111117893"/>
  </sheetPr>
  <dimension ref="C6:I12"/>
  <sheetViews>
    <sheetView workbookViewId="0">
      <selection activeCell="H18" sqref="H18"/>
    </sheetView>
  </sheetViews>
  <sheetFormatPr defaultColWidth="9.109375" defaultRowHeight="14.4" x14ac:dyDescent="0.3"/>
  <cols>
    <col min="1" max="16384" width="9.109375" style="51"/>
  </cols>
  <sheetData>
    <row r="6" spans="3:9" ht="21" x14ac:dyDescent="0.4">
      <c r="C6" s="105" t="s">
        <v>28</v>
      </c>
      <c r="D6" s="58"/>
      <c r="E6" s="58"/>
      <c r="F6" s="58"/>
      <c r="G6" s="58"/>
      <c r="H6" s="58"/>
      <c r="I6" s="58"/>
    </row>
    <row r="7" spans="3:9" ht="21" x14ac:dyDescent="0.4">
      <c r="C7" s="106" t="s">
        <v>294</v>
      </c>
      <c r="D7" s="58"/>
      <c r="E7" s="58"/>
      <c r="F7" s="58"/>
      <c r="G7" s="58"/>
      <c r="H7" s="58"/>
      <c r="I7" s="58"/>
    </row>
    <row r="8" spans="3:9" ht="21" x14ac:dyDescent="0.4">
      <c r="C8" s="105" t="s">
        <v>42</v>
      </c>
      <c r="D8" s="52"/>
      <c r="E8" s="52"/>
      <c r="F8" s="53"/>
      <c r="G8" s="53"/>
      <c r="H8" s="53"/>
      <c r="I8" s="53"/>
    </row>
    <row r="9" spans="3:9" ht="21" x14ac:dyDescent="0.4">
      <c r="C9" s="108" t="s">
        <v>295</v>
      </c>
      <c r="D9" s="52"/>
      <c r="E9" s="52"/>
      <c r="F9" s="53"/>
      <c r="G9" s="53"/>
      <c r="H9" s="53"/>
      <c r="I9" s="53"/>
    </row>
    <row r="10" spans="3:9" ht="21" x14ac:dyDescent="0.4">
      <c r="C10" s="105" t="s">
        <v>296</v>
      </c>
      <c r="D10" s="59"/>
      <c r="E10" s="59"/>
    </row>
    <row r="11" spans="3:9" ht="25.5" customHeight="1" x14ac:dyDescent="0.3">
      <c r="C11" s="107" t="s">
        <v>297</v>
      </c>
      <c r="D11" s="55"/>
      <c r="E11" s="55"/>
      <c r="F11" s="55"/>
      <c r="G11" s="55"/>
      <c r="H11" s="55"/>
      <c r="I11" s="54"/>
    </row>
    <row r="12" spans="3:9" ht="21" x14ac:dyDescent="0.3">
      <c r="C12" s="56"/>
      <c r="D12" s="57"/>
      <c r="E12" s="56"/>
      <c r="F12" s="56"/>
      <c r="G12" s="56"/>
      <c r="H12" s="55"/>
      <c r="I12" s="54"/>
    </row>
  </sheetData>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92D050"/>
  </sheetPr>
  <dimension ref="B2:E33"/>
  <sheetViews>
    <sheetView workbookViewId="0">
      <selection activeCell="D6" sqref="D6"/>
    </sheetView>
  </sheetViews>
  <sheetFormatPr defaultColWidth="9.109375" defaultRowHeight="13.2" x14ac:dyDescent="0.25"/>
  <cols>
    <col min="1" max="1" width="3.33203125" style="2" customWidth="1"/>
    <col min="2" max="16384" width="9.109375" style="2"/>
  </cols>
  <sheetData>
    <row r="2" spans="2:5" x14ac:dyDescent="0.25">
      <c r="B2" s="1" t="s">
        <v>0</v>
      </c>
      <c r="C2" s="1" t="s">
        <v>1</v>
      </c>
      <c r="D2" s="1" t="s">
        <v>2</v>
      </c>
      <c r="E2" s="1" t="s">
        <v>3</v>
      </c>
    </row>
    <row r="3" spans="2:5" x14ac:dyDescent="0.25">
      <c r="B3" s="3">
        <v>-3</v>
      </c>
      <c r="C3" s="3">
        <v>5</v>
      </c>
      <c r="D3" s="3">
        <v>20</v>
      </c>
      <c r="E3" s="4">
        <f>(C3-B3)/D3</f>
        <v>0.4</v>
      </c>
    </row>
    <row r="5" spans="2:5" x14ac:dyDescent="0.25">
      <c r="B5" s="5" t="s">
        <v>4</v>
      </c>
      <c r="C5" s="5" t="s">
        <v>5</v>
      </c>
      <c r="D5" s="5" t="s">
        <v>6</v>
      </c>
    </row>
    <row r="6" spans="2:5" x14ac:dyDescent="0.25">
      <c r="B6" s="6">
        <f>a</f>
        <v>-3</v>
      </c>
      <c r="C6" s="109">
        <f>IF(B6&lt;=0,3*COS(2*B6)+1,5*SIN(3*B6)-2)</f>
        <v>3.880510859951098</v>
      </c>
      <c r="D6" s="109">
        <f>IF(B6&lt;-2,B6^2/10+3,IF(B6&gt;2,3*SIN(2*B6),2*B6-5))</f>
        <v>3.9</v>
      </c>
    </row>
    <row r="7" spans="2:5" x14ac:dyDescent="0.25">
      <c r="B7" s="6">
        <f t="shared" ref="B7:B26" si="0">B6+h</f>
        <v>-2.6</v>
      </c>
      <c r="C7" s="109">
        <f t="shared" ref="C7:C26" si="1">IF(B7&lt;=0,3*COS(2*B7)+1,5*SIN(3*B7)-2)</f>
        <v>2.4055500139011312</v>
      </c>
      <c r="D7" s="109">
        <f t="shared" ref="D7:D26" si="2">IF(B7&lt;-2,B7^2/10+3,IF(B7&gt;2,3*SIN(2*B7),2*B7-5))</f>
        <v>3.6760000000000002</v>
      </c>
    </row>
    <row r="8" spans="2:5" x14ac:dyDescent="0.25">
      <c r="B8" s="6">
        <f t="shared" si="0"/>
        <v>-2.2000000000000002</v>
      </c>
      <c r="C8" s="109">
        <f t="shared" si="1"/>
        <v>7.8001390064741938E-2</v>
      </c>
      <c r="D8" s="109">
        <f t="shared" si="2"/>
        <v>3.484</v>
      </c>
    </row>
    <row r="9" spans="2:5" x14ac:dyDescent="0.25">
      <c r="B9" s="6">
        <f t="shared" si="0"/>
        <v>-1.8000000000000003</v>
      </c>
      <c r="C9" s="109">
        <f t="shared" si="1"/>
        <v>-1.6902752490024402</v>
      </c>
      <c r="D9" s="109">
        <f t="shared" si="2"/>
        <v>-8.6000000000000014</v>
      </c>
    </row>
    <row r="10" spans="2:5" x14ac:dyDescent="0.25">
      <c r="B10" s="6">
        <f t="shared" si="0"/>
        <v>-1.4000000000000004</v>
      </c>
      <c r="C10" s="109">
        <f t="shared" si="1"/>
        <v>-1.8266670220059753</v>
      </c>
      <c r="D10" s="109">
        <f t="shared" si="2"/>
        <v>-7.8000000000000007</v>
      </c>
    </row>
    <row r="11" spans="2:5" x14ac:dyDescent="0.25">
      <c r="B11" s="6">
        <f t="shared" si="0"/>
        <v>-1.0000000000000004</v>
      </c>
      <c r="C11" s="109">
        <f t="shared" si="1"/>
        <v>-0.2484405096414295</v>
      </c>
      <c r="D11" s="109">
        <f t="shared" si="2"/>
        <v>-7.0000000000000009</v>
      </c>
    </row>
    <row r="12" spans="2:5" x14ac:dyDescent="0.25">
      <c r="B12" s="6">
        <f t="shared" si="0"/>
        <v>-0.60000000000000042</v>
      </c>
      <c r="C12" s="109">
        <f t="shared" si="1"/>
        <v>2.0870732634300184</v>
      </c>
      <c r="D12" s="109">
        <f t="shared" si="2"/>
        <v>-6.2000000000000011</v>
      </c>
    </row>
    <row r="13" spans="2:5" x14ac:dyDescent="0.25">
      <c r="B13" s="6">
        <f t="shared" si="0"/>
        <v>-0.2000000000000004</v>
      </c>
      <c r="C13" s="109">
        <f t="shared" si="1"/>
        <v>3.7631829820086544</v>
      </c>
      <c r="D13" s="109">
        <f t="shared" si="2"/>
        <v>-5.4</v>
      </c>
    </row>
    <row r="14" spans="2:5" x14ac:dyDescent="0.25">
      <c r="B14" s="6">
        <f t="shared" si="0"/>
        <v>0.19999999999999962</v>
      </c>
      <c r="C14" s="109">
        <f t="shared" si="1"/>
        <v>0.82321236697517186</v>
      </c>
      <c r="D14" s="109">
        <f t="shared" si="2"/>
        <v>-4.6000000000000005</v>
      </c>
    </row>
    <row r="15" spans="2:5" x14ac:dyDescent="0.25">
      <c r="B15" s="6">
        <f t="shared" si="0"/>
        <v>0.59999999999999964</v>
      </c>
      <c r="C15" s="109">
        <f t="shared" si="1"/>
        <v>2.8692381543909775</v>
      </c>
      <c r="D15" s="109">
        <f t="shared" si="2"/>
        <v>-3.8000000000000007</v>
      </c>
    </row>
    <row r="16" spans="2:5" x14ac:dyDescent="0.25">
      <c r="B16" s="6">
        <f t="shared" si="0"/>
        <v>0.99999999999999967</v>
      </c>
      <c r="C16" s="109">
        <f t="shared" si="1"/>
        <v>-1.2943999597006595</v>
      </c>
      <c r="D16" s="109">
        <f t="shared" si="2"/>
        <v>-3.0000000000000009</v>
      </c>
    </row>
    <row r="17" spans="2:4" x14ac:dyDescent="0.25">
      <c r="B17" s="6">
        <f t="shared" si="0"/>
        <v>1.3999999999999997</v>
      </c>
      <c r="C17" s="109">
        <f t="shared" si="1"/>
        <v>-6.3578788620679383</v>
      </c>
      <c r="D17" s="109">
        <f t="shared" si="2"/>
        <v>-2.2000000000000006</v>
      </c>
    </row>
    <row r="18" spans="2:4" x14ac:dyDescent="0.25">
      <c r="B18" s="6">
        <f t="shared" si="0"/>
        <v>1.7999999999999998</v>
      </c>
      <c r="C18" s="109">
        <f t="shared" si="1"/>
        <v>-5.8638224377799384</v>
      </c>
      <c r="D18" s="109">
        <f t="shared" si="2"/>
        <v>-1.4000000000000004</v>
      </c>
    </row>
    <row r="19" spans="2:4" x14ac:dyDescent="0.25">
      <c r="B19" s="6">
        <f t="shared" si="0"/>
        <v>2.1999999999999997</v>
      </c>
      <c r="C19" s="109">
        <f t="shared" si="1"/>
        <v>-0.44229318243311067</v>
      </c>
      <c r="D19" s="109">
        <f t="shared" si="2"/>
        <v>-2.8548062216685475</v>
      </c>
    </row>
    <row r="20" spans="2:4" x14ac:dyDescent="0.25">
      <c r="B20" s="6">
        <f t="shared" si="0"/>
        <v>2.5999999999999996</v>
      </c>
      <c r="C20" s="109">
        <f t="shared" si="1"/>
        <v>2.9927167268730246</v>
      </c>
      <c r="D20" s="109">
        <f t="shared" si="2"/>
        <v>-2.6503639671604606</v>
      </c>
    </row>
    <row r="21" spans="2:4" x14ac:dyDescent="0.25">
      <c r="B21" s="6">
        <f t="shared" si="0"/>
        <v>2.9999999999999996</v>
      </c>
      <c r="C21" s="109">
        <f t="shared" si="1"/>
        <v>6.0592426208791128E-2</v>
      </c>
      <c r="D21" s="109">
        <f t="shared" si="2"/>
        <v>-0.83824649459678024</v>
      </c>
    </row>
    <row r="22" spans="2:4" x14ac:dyDescent="0.25">
      <c r="B22" s="6">
        <f t="shared" si="0"/>
        <v>3.3999999999999995</v>
      </c>
      <c r="C22" s="109">
        <f t="shared" si="1"/>
        <v>-5.4993734379677122</v>
      </c>
      <c r="D22" s="109">
        <f t="shared" si="2"/>
        <v>1.4823400534158222</v>
      </c>
    </row>
    <row r="23" spans="2:4" x14ac:dyDescent="0.25">
      <c r="B23" s="6">
        <f t="shared" si="0"/>
        <v>3.7999999999999994</v>
      </c>
      <c r="C23" s="109">
        <f t="shared" si="1"/>
        <v>-6.5966426283233819</v>
      </c>
      <c r="D23" s="109">
        <f t="shared" si="2"/>
        <v>2.9037590160944582</v>
      </c>
    </row>
    <row r="24" spans="2:4" x14ac:dyDescent="0.25">
      <c r="B24" s="6">
        <f t="shared" si="0"/>
        <v>4.1999999999999993</v>
      </c>
      <c r="C24" s="109">
        <f t="shared" si="1"/>
        <v>-1.8318847638943254</v>
      </c>
      <c r="D24" s="109">
        <f t="shared" si="2"/>
        <v>2.5637967242648445</v>
      </c>
    </row>
    <row r="25" spans="2:4" x14ac:dyDescent="0.25">
      <c r="B25" s="6">
        <f t="shared" si="0"/>
        <v>4.5999999999999996</v>
      </c>
      <c r="C25" s="109">
        <f t="shared" si="1"/>
        <v>2.718478347220521</v>
      </c>
      <c r="D25" s="109">
        <f t="shared" si="2"/>
        <v>0.66866974230074294</v>
      </c>
    </row>
    <row r="26" spans="2:4" x14ac:dyDescent="0.25">
      <c r="B26" s="6">
        <f t="shared" si="0"/>
        <v>5</v>
      </c>
      <c r="C26" s="109">
        <f t="shared" si="1"/>
        <v>1.2514392007855841</v>
      </c>
      <c r="D26" s="109">
        <f t="shared" si="2"/>
        <v>-1.6320633326681093</v>
      </c>
    </row>
    <row r="27" spans="2:4" x14ac:dyDescent="0.25">
      <c r="B27" s="6"/>
    </row>
    <row r="28" spans="2:4" x14ac:dyDescent="0.25">
      <c r="B28" s="6"/>
    </row>
    <row r="29" spans="2:4" x14ac:dyDescent="0.25">
      <c r="B29" s="6"/>
    </row>
    <row r="30" spans="2:4" x14ac:dyDescent="0.25">
      <c r="B30" s="6"/>
    </row>
    <row r="31" spans="2:4" x14ac:dyDescent="0.25">
      <c r="B31" s="6"/>
    </row>
    <row r="32" spans="2:4" x14ac:dyDescent="0.25">
      <c r="B32" s="6"/>
    </row>
    <row r="33" spans="2:2" x14ac:dyDescent="0.25">
      <c r="B33" s="6"/>
    </row>
  </sheetData>
  <pageMargins left="0.75" right="0.75" top="1" bottom="1" header="0.5" footer="0.5"/>
  <pageSetup paperSize="9" orientation="portrait" r:id="rId1"/>
  <headerFooter alignWithMargins="0"/>
  <drawing r:id="rId2"/>
  <legacyDrawing r:id="rId3"/>
  <oleObjects>
    <mc:AlternateContent xmlns:mc="http://schemas.openxmlformats.org/markup-compatibility/2006">
      <mc:Choice Requires="x14">
        <oleObject progId="Equation.3" shapeId="1026" r:id="rId4">
          <objectPr defaultSize="0" autoPict="0" r:id="rId5">
            <anchor moveWithCells="1" sizeWithCells="1">
              <from>
                <xdr:col>6</xdr:col>
                <xdr:colOff>327660</xdr:colOff>
                <xdr:row>7</xdr:row>
                <xdr:rowOff>83820</xdr:rowOff>
              </from>
              <to>
                <xdr:col>8</xdr:col>
                <xdr:colOff>510540</xdr:colOff>
                <xdr:row>10</xdr:row>
                <xdr:rowOff>53340</xdr:rowOff>
              </to>
            </anchor>
          </objectPr>
        </oleObject>
      </mc:Choice>
      <mc:Fallback>
        <oleObject progId="Equation.3" shapeId="1026" r:id="rId4"/>
      </mc:Fallback>
    </mc:AlternateContent>
    <mc:AlternateContent xmlns:mc="http://schemas.openxmlformats.org/markup-compatibility/2006">
      <mc:Choice Requires="x14">
        <oleObject progId="Equation.3" shapeId="1027" r:id="rId6">
          <objectPr defaultSize="0" autoPict="0" r:id="rId7">
            <anchor moveWithCells="1" sizeWithCells="1">
              <from>
                <xdr:col>9</xdr:col>
                <xdr:colOff>601980</xdr:colOff>
                <xdr:row>7</xdr:row>
                <xdr:rowOff>83820</xdr:rowOff>
              </from>
              <to>
                <xdr:col>13</xdr:col>
                <xdr:colOff>7620</xdr:colOff>
                <xdr:row>11</xdr:row>
                <xdr:rowOff>114300</xdr:rowOff>
              </to>
            </anchor>
          </objectPr>
        </oleObject>
      </mc:Choice>
      <mc:Fallback>
        <oleObject progId="Equation.3" shapeId="1027"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indexed="34"/>
  </sheetPr>
  <dimension ref="A2:D33"/>
  <sheetViews>
    <sheetView workbookViewId="0">
      <selection activeCell="E35" sqref="E35"/>
    </sheetView>
  </sheetViews>
  <sheetFormatPr defaultColWidth="9.109375" defaultRowHeight="13.2" x14ac:dyDescent="0.25"/>
  <cols>
    <col min="1" max="16384" width="9.109375" style="2"/>
  </cols>
  <sheetData>
    <row r="2" spans="1:4" x14ac:dyDescent="0.25">
      <c r="A2" s="1" t="s">
        <v>0</v>
      </c>
      <c r="B2" s="1" t="s">
        <v>1</v>
      </c>
      <c r="C2" s="1" t="s">
        <v>2</v>
      </c>
      <c r="D2" s="1" t="s">
        <v>3</v>
      </c>
    </row>
    <row r="3" spans="1:4" x14ac:dyDescent="0.25">
      <c r="A3" s="7">
        <v>-5</v>
      </c>
      <c r="B3" s="7">
        <v>5</v>
      </c>
      <c r="C3" s="7">
        <v>20</v>
      </c>
      <c r="D3" s="8">
        <f>(b-a)/n</f>
        <v>0.5</v>
      </c>
    </row>
    <row r="5" spans="1:4" x14ac:dyDescent="0.25">
      <c r="A5" s="5" t="s">
        <v>4</v>
      </c>
      <c r="B5" s="5" t="s">
        <v>5</v>
      </c>
      <c r="C5" s="5" t="s">
        <v>6</v>
      </c>
    </row>
    <row r="6" spans="1:4" x14ac:dyDescent="0.25">
      <c r="A6" s="9">
        <f>a</f>
        <v>-5</v>
      </c>
      <c r="B6" s="10">
        <f t="shared" ref="B6:B26" si="0">IF(x&lt;=0,3*COS(2*x)+1,5*SIN(3*x)-2)</f>
        <v>-1.5172145872293572</v>
      </c>
      <c r="C6" s="10">
        <f t="shared" ref="C6:C26" si="1">IF(x&lt;-2,x^2/10+3,IF(x&lt;=2,2*x-5,3*SIN(2*x)))</f>
        <v>5.5</v>
      </c>
    </row>
    <row r="7" spans="1:4" x14ac:dyDescent="0.25">
      <c r="A7" s="9">
        <f t="shared" ref="A7:A26" si="2">A6+h</f>
        <v>-4.5</v>
      </c>
      <c r="B7" s="10">
        <f t="shared" si="0"/>
        <v>-1.7333907856540307</v>
      </c>
      <c r="C7" s="10">
        <f t="shared" si="1"/>
        <v>5.0250000000000004</v>
      </c>
    </row>
    <row r="8" spans="1:4" x14ac:dyDescent="0.25">
      <c r="A8" s="9">
        <f t="shared" si="2"/>
        <v>-4</v>
      </c>
      <c r="B8" s="10">
        <f t="shared" si="0"/>
        <v>0.56349989857415939</v>
      </c>
      <c r="C8" s="10">
        <f t="shared" si="1"/>
        <v>4.5999999999999996</v>
      </c>
    </row>
    <row r="9" spans="1:4" x14ac:dyDescent="0.25">
      <c r="A9" s="9">
        <f t="shared" si="2"/>
        <v>-3.5</v>
      </c>
      <c r="B9" s="10">
        <f t="shared" si="0"/>
        <v>3.2617067630299137</v>
      </c>
      <c r="C9" s="10">
        <f t="shared" si="1"/>
        <v>4.2249999999999996</v>
      </c>
    </row>
    <row r="10" spans="1:4" x14ac:dyDescent="0.25">
      <c r="A10" s="9">
        <f t="shared" si="2"/>
        <v>-3</v>
      </c>
      <c r="B10" s="10">
        <f t="shared" si="0"/>
        <v>3.880510859951098</v>
      </c>
      <c r="C10" s="10">
        <f t="shared" si="1"/>
        <v>3.9</v>
      </c>
    </row>
    <row r="11" spans="1:4" x14ac:dyDescent="0.25">
      <c r="A11" s="9">
        <f t="shared" si="2"/>
        <v>-2.5</v>
      </c>
      <c r="B11" s="10">
        <f t="shared" si="0"/>
        <v>1.8509865563896788</v>
      </c>
      <c r="C11" s="10">
        <f t="shared" si="1"/>
        <v>3.625</v>
      </c>
    </row>
    <row r="12" spans="1:4" x14ac:dyDescent="0.25">
      <c r="A12" s="9">
        <f t="shared" si="2"/>
        <v>-2</v>
      </c>
      <c r="B12" s="10">
        <f t="shared" si="0"/>
        <v>-0.96093086259083593</v>
      </c>
      <c r="C12" s="10">
        <f t="shared" si="1"/>
        <v>-9</v>
      </c>
    </row>
    <row r="13" spans="1:4" x14ac:dyDescent="0.25">
      <c r="A13" s="9">
        <f t="shared" si="2"/>
        <v>-1.5</v>
      </c>
      <c r="B13" s="10">
        <f t="shared" si="0"/>
        <v>-1.9699774898013365</v>
      </c>
      <c r="C13" s="10">
        <f t="shared" si="1"/>
        <v>-8</v>
      </c>
    </row>
    <row r="14" spans="1:4" x14ac:dyDescent="0.25">
      <c r="A14" s="9">
        <f t="shared" si="2"/>
        <v>-1</v>
      </c>
      <c r="B14" s="10">
        <f t="shared" si="0"/>
        <v>-0.24844050964142728</v>
      </c>
      <c r="C14" s="10">
        <f t="shared" si="1"/>
        <v>-7</v>
      </c>
    </row>
    <row r="15" spans="1:4" x14ac:dyDescent="0.25">
      <c r="A15" s="9">
        <f t="shared" si="2"/>
        <v>-0.5</v>
      </c>
      <c r="B15" s="10">
        <f t="shared" si="0"/>
        <v>2.6209069176044193</v>
      </c>
      <c r="C15" s="10">
        <f t="shared" si="1"/>
        <v>-6</v>
      </c>
    </row>
    <row r="16" spans="1:4" x14ac:dyDescent="0.25">
      <c r="A16" s="9">
        <f t="shared" si="2"/>
        <v>0</v>
      </c>
      <c r="B16" s="10">
        <f t="shared" si="0"/>
        <v>4</v>
      </c>
      <c r="C16" s="10">
        <f t="shared" si="1"/>
        <v>-5</v>
      </c>
    </row>
    <row r="17" spans="1:3" x14ac:dyDescent="0.25">
      <c r="A17" s="9">
        <f t="shared" si="2"/>
        <v>0.5</v>
      </c>
      <c r="B17" s="10">
        <f t="shared" si="0"/>
        <v>2.9874749330202723</v>
      </c>
      <c r="C17" s="10">
        <f t="shared" si="1"/>
        <v>-4</v>
      </c>
    </row>
    <row r="18" spans="1:3" x14ac:dyDescent="0.25">
      <c r="A18" s="9">
        <f t="shared" si="2"/>
        <v>1</v>
      </c>
      <c r="B18" s="10">
        <f t="shared" si="0"/>
        <v>-1.2943999597006639</v>
      </c>
      <c r="C18" s="10">
        <f t="shared" si="1"/>
        <v>-3</v>
      </c>
    </row>
    <row r="19" spans="1:3" x14ac:dyDescent="0.25">
      <c r="A19" s="9">
        <f t="shared" si="2"/>
        <v>1.5</v>
      </c>
      <c r="B19" s="10">
        <f t="shared" si="0"/>
        <v>-6.887650588325485</v>
      </c>
      <c r="C19" s="10">
        <f t="shared" si="1"/>
        <v>-2</v>
      </c>
    </row>
    <row r="20" spans="1:3" x14ac:dyDescent="0.25">
      <c r="A20" s="9">
        <f t="shared" si="2"/>
        <v>2</v>
      </c>
      <c r="B20" s="10">
        <f t="shared" si="0"/>
        <v>-3.3970774909946293</v>
      </c>
      <c r="C20" s="10">
        <f t="shared" si="1"/>
        <v>-1</v>
      </c>
    </row>
    <row r="21" spans="1:3" x14ac:dyDescent="0.25">
      <c r="A21" s="9">
        <f t="shared" si="2"/>
        <v>2.5</v>
      </c>
      <c r="B21" s="10">
        <f t="shared" si="0"/>
        <v>2.6899998838736945</v>
      </c>
      <c r="C21" s="10">
        <f t="shared" si="1"/>
        <v>-2.8767728239894153</v>
      </c>
    </row>
    <row r="22" spans="1:3" x14ac:dyDescent="0.25">
      <c r="A22" s="9">
        <f t="shared" si="2"/>
        <v>3</v>
      </c>
      <c r="B22" s="10">
        <f t="shared" si="0"/>
        <v>6.0592426208783134E-2</v>
      </c>
      <c r="C22" s="10">
        <f t="shared" si="1"/>
        <v>-0.83824649459677758</v>
      </c>
    </row>
    <row r="23" spans="1:3" x14ac:dyDescent="0.25">
      <c r="A23" s="9">
        <f t="shared" si="2"/>
        <v>3.5</v>
      </c>
      <c r="B23" s="10">
        <f t="shared" si="0"/>
        <v>-6.3984787998583501</v>
      </c>
      <c r="C23" s="10">
        <f t="shared" si="1"/>
        <v>1.9709597961563672</v>
      </c>
    </row>
    <row r="24" spans="1:3" x14ac:dyDescent="0.25">
      <c r="A24" s="9">
        <f t="shared" si="2"/>
        <v>4</v>
      </c>
      <c r="B24" s="10">
        <f t="shared" si="0"/>
        <v>-4.6828645900021746</v>
      </c>
      <c r="C24" s="10">
        <f t="shared" si="1"/>
        <v>2.9680747398701453</v>
      </c>
    </row>
    <row r="25" spans="1:3" x14ac:dyDescent="0.25">
      <c r="A25" s="9">
        <f t="shared" si="2"/>
        <v>4.5</v>
      </c>
      <c r="B25" s="10">
        <f t="shared" si="0"/>
        <v>2.0189221327581048</v>
      </c>
      <c r="C25" s="10">
        <f t="shared" si="1"/>
        <v>1.2363554557252698</v>
      </c>
    </row>
    <row r="26" spans="1:3" x14ac:dyDescent="0.25">
      <c r="A26" s="9">
        <f t="shared" si="2"/>
        <v>5</v>
      </c>
      <c r="B26" s="10">
        <f t="shared" si="0"/>
        <v>1.2514392007855841</v>
      </c>
      <c r="C26" s="10">
        <f t="shared" si="1"/>
        <v>-1.6320633326681093</v>
      </c>
    </row>
    <row r="27" spans="1:3" x14ac:dyDescent="0.25">
      <c r="A27" s="6"/>
    </row>
    <row r="28" spans="1:3" x14ac:dyDescent="0.25">
      <c r="A28" s="6"/>
    </row>
    <row r="29" spans="1:3" x14ac:dyDescent="0.25">
      <c r="A29" s="6"/>
    </row>
    <row r="30" spans="1:3" x14ac:dyDescent="0.25">
      <c r="A30" s="6"/>
    </row>
    <row r="31" spans="1:3" x14ac:dyDescent="0.25">
      <c r="A31" s="6"/>
    </row>
    <row r="32" spans="1:3" x14ac:dyDescent="0.25">
      <c r="A32" s="6"/>
    </row>
    <row r="33" spans="1:1" x14ac:dyDescent="0.25">
      <c r="A33" s="6"/>
    </row>
  </sheetData>
  <sheetProtection password="C6DC" sheet="1" objects="1" scenarios="1"/>
  <pageMargins left="0.75" right="0.75" top="1" bottom="1" header="0.5" footer="0.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92D050"/>
  </sheetPr>
  <dimension ref="B2:J47"/>
  <sheetViews>
    <sheetView topLeftCell="A4" workbookViewId="0">
      <selection activeCell="C23" sqref="C23"/>
    </sheetView>
  </sheetViews>
  <sheetFormatPr defaultColWidth="9.109375" defaultRowHeight="13.2" x14ac:dyDescent="0.25"/>
  <cols>
    <col min="1" max="1" width="3" style="2" customWidth="1"/>
    <col min="2" max="16384" width="9.109375" style="2"/>
  </cols>
  <sheetData>
    <row r="2" spans="2:5" x14ac:dyDescent="0.25">
      <c r="B2" s="11"/>
      <c r="C2" s="11"/>
      <c r="D2" s="11"/>
      <c r="E2" s="11"/>
    </row>
    <row r="3" spans="2:5" x14ac:dyDescent="0.25">
      <c r="B3" s="12"/>
      <c r="C3" s="12"/>
      <c r="D3" s="12"/>
      <c r="E3" s="12"/>
    </row>
    <row r="5" spans="2:5" x14ac:dyDescent="0.25">
      <c r="B5" s="13"/>
      <c r="C5" s="13"/>
      <c r="D5" s="13"/>
    </row>
    <row r="6" spans="2:5" x14ac:dyDescent="0.25">
      <c r="B6" s="6"/>
    </row>
    <row r="7" spans="2:5" x14ac:dyDescent="0.25">
      <c r="B7" s="6"/>
    </row>
    <row r="8" spans="2:5" x14ac:dyDescent="0.25">
      <c r="B8" s="6"/>
    </row>
    <row r="9" spans="2:5" x14ac:dyDescent="0.25">
      <c r="B9" s="6"/>
    </row>
    <row r="10" spans="2:5" x14ac:dyDescent="0.25">
      <c r="B10" s="6"/>
    </row>
    <row r="11" spans="2:5" x14ac:dyDescent="0.25">
      <c r="B11" s="6"/>
    </row>
    <row r="12" spans="2:5" x14ac:dyDescent="0.25">
      <c r="B12" s="6"/>
    </row>
    <row r="13" spans="2:5" x14ac:dyDescent="0.25">
      <c r="B13" s="6"/>
    </row>
    <row r="14" spans="2:5" x14ac:dyDescent="0.25">
      <c r="B14" s="6"/>
    </row>
    <row r="15" spans="2:5" x14ac:dyDescent="0.25">
      <c r="B15" s="6"/>
    </row>
    <row r="16" spans="2:5" x14ac:dyDescent="0.25">
      <c r="B16" s="6"/>
    </row>
    <row r="17" spans="2:10" x14ac:dyDescent="0.25">
      <c r="B17" s="6"/>
    </row>
    <row r="18" spans="2:10" x14ac:dyDescent="0.25">
      <c r="B18" s="6"/>
    </row>
    <row r="19" spans="2:10" x14ac:dyDescent="0.25">
      <c r="B19" s="14" t="s">
        <v>0</v>
      </c>
      <c r="C19" s="14" t="s">
        <v>1</v>
      </c>
      <c r="D19" s="14" t="s">
        <v>2</v>
      </c>
      <c r="E19" s="14" t="s">
        <v>3</v>
      </c>
      <c r="G19" s="14" t="s">
        <v>7</v>
      </c>
      <c r="H19" s="14" t="s">
        <v>8</v>
      </c>
      <c r="I19" s="14" t="s">
        <v>9</v>
      </c>
      <c r="J19" s="14" t="s">
        <v>10</v>
      </c>
    </row>
    <row r="20" spans="2:10" x14ac:dyDescent="0.25">
      <c r="B20" s="3">
        <v>0.1</v>
      </c>
      <c r="C20" s="3">
        <v>2.5</v>
      </c>
      <c r="D20" s="3">
        <v>24</v>
      </c>
      <c r="E20" s="4">
        <f>(b-a)/n</f>
        <v>9.9999999999999992E-2</v>
      </c>
      <c r="G20" s="3">
        <v>-1</v>
      </c>
      <c r="H20" s="3">
        <v>1</v>
      </c>
      <c r="I20" s="3">
        <v>14</v>
      </c>
      <c r="J20" s="15">
        <f>(bb-aa)/nn</f>
        <v>0.14285714285714285</v>
      </c>
    </row>
    <row r="22" spans="2:10" x14ac:dyDescent="0.25">
      <c r="B22" s="16" t="s">
        <v>4</v>
      </c>
      <c r="C22" s="16" t="s">
        <v>5</v>
      </c>
      <c r="G22" s="16" t="s">
        <v>4</v>
      </c>
      <c r="H22" s="16" t="s">
        <v>6</v>
      </c>
    </row>
    <row r="23" spans="2:10" x14ac:dyDescent="0.25">
      <c r="B23" s="6">
        <f>a</f>
        <v>0.1</v>
      </c>
      <c r="C23" s="6">
        <f>20*LN(B23)</f>
        <v>-46.051701859880907</v>
      </c>
      <c r="G23" s="6">
        <f>aa</f>
        <v>-1</v>
      </c>
      <c r="H23" s="6">
        <f>3*COS(2*G23)</f>
        <v>-1.2484405096414273</v>
      </c>
    </row>
    <row r="24" spans="2:10" x14ac:dyDescent="0.25">
      <c r="B24" s="6">
        <f t="shared" ref="B24:B47" si="0">B23+h</f>
        <v>0.2</v>
      </c>
      <c r="C24" s="6">
        <f t="shared" ref="C24:C47" si="1">20*LN(B24)</f>
        <v>-32.188758248682007</v>
      </c>
      <c r="G24" s="6">
        <f t="shared" ref="G24:G37" si="2">G23+hh</f>
        <v>-0.85714285714285721</v>
      </c>
      <c r="H24" s="6">
        <f t="shared" ref="H24:H37" si="3">3*COS(2*G24)</f>
        <v>-0.4289925162524123</v>
      </c>
    </row>
    <row r="25" spans="2:10" x14ac:dyDescent="0.25">
      <c r="B25" s="6">
        <f t="shared" si="0"/>
        <v>0.3</v>
      </c>
      <c r="C25" s="6">
        <f t="shared" si="1"/>
        <v>-24.079456086518721</v>
      </c>
      <c r="G25" s="6">
        <f t="shared" si="2"/>
        <v>-0.71428571428571441</v>
      </c>
      <c r="H25" s="6">
        <f t="shared" si="3"/>
        <v>0.42523769176902071</v>
      </c>
    </row>
    <row r="26" spans="2:10" x14ac:dyDescent="0.25">
      <c r="B26" s="6">
        <f t="shared" si="0"/>
        <v>0.39999999999999997</v>
      </c>
      <c r="C26" s="6">
        <f t="shared" si="1"/>
        <v>-18.325814637483102</v>
      </c>
      <c r="G26" s="6">
        <f t="shared" si="2"/>
        <v>-0.57142857142857162</v>
      </c>
      <c r="H26" s="6">
        <f t="shared" si="3"/>
        <v>1.2449901219632025</v>
      </c>
    </row>
    <row r="27" spans="2:10" x14ac:dyDescent="0.25">
      <c r="B27" s="6">
        <f t="shared" si="0"/>
        <v>0.49999999999999994</v>
      </c>
      <c r="C27" s="6">
        <f t="shared" si="1"/>
        <v>-13.862943611198908</v>
      </c>
      <c r="G27" s="6">
        <f t="shared" si="2"/>
        <v>-0.42857142857142877</v>
      </c>
      <c r="H27" s="6">
        <f t="shared" si="3"/>
        <v>1.9638002000258015</v>
      </c>
    </row>
    <row r="28" spans="2:10" x14ac:dyDescent="0.25">
      <c r="B28" s="6">
        <f t="shared" si="0"/>
        <v>0.6</v>
      </c>
      <c r="C28" s="6">
        <f t="shared" si="1"/>
        <v>-10.216512475319814</v>
      </c>
      <c r="G28" s="6">
        <f t="shared" si="2"/>
        <v>-0.28571428571428592</v>
      </c>
      <c r="H28" s="6">
        <f t="shared" si="3"/>
        <v>2.5233876402457076</v>
      </c>
    </row>
    <row r="29" spans="2:10" x14ac:dyDescent="0.25">
      <c r="B29" s="6">
        <f t="shared" si="0"/>
        <v>0.7</v>
      </c>
      <c r="C29" s="6">
        <f t="shared" si="1"/>
        <v>-7.1334988787746489</v>
      </c>
      <c r="G29" s="6">
        <f t="shared" si="2"/>
        <v>-0.14285714285714307</v>
      </c>
      <c r="H29" s="6">
        <f t="shared" si="3"/>
        <v>2.8783817433357517</v>
      </c>
    </row>
    <row r="30" spans="2:10" x14ac:dyDescent="0.25">
      <c r="B30" s="6">
        <f t="shared" si="0"/>
        <v>0.79999999999999993</v>
      </c>
      <c r="C30" s="6">
        <f t="shared" si="1"/>
        <v>-4.4628710262841969</v>
      </c>
      <c r="G30" s="6">
        <f t="shared" si="2"/>
        <v>-2.2204460492503131E-16</v>
      </c>
      <c r="H30" s="6">
        <f t="shared" si="3"/>
        <v>3</v>
      </c>
    </row>
    <row r="31" spans="2:10" x14ac:dyDescent="0.25">
      <c r="B31" s="6">
        <f t="shared" si="0"/>
        <v>0.89999999999999991</v>
      </c>
      <c r="C31" s="6">
        <f t="shared" si="1"/>
        <v>-2.1072103131565281</v>
      </c>
      <c r="G31" s="6">
        <f t="shared" si="2"/>
        <v>0.14285714285714263</v>
      </c>
      <c r="H31" s="6">
        <f t="shared" si="3"/>
        <v>2.8783817433357521</v>
      </c>
    </row>
    <row r="32" spans="2:10" x14ac:dyDescent="0.25">
      <c r="B32" s="6">
        <f t="shared" si="0"/>
        <v>0.99999999999999989</v>
      </c>
      <c r="C32" s="6">
        <f t="shared" si="1"/>
        <v>-2.2204460492503131E-15</v>
      </c>
      <c r="G32" s="6">
        <f t="shared" si="2"/>
        <v>0.28571428571428548</v>
      </c>
      <c r="H32" s="6">
        <f t="shared" si="3"/>
        <v>2.5233876402457094</v>
      </c>
    </row>
    <row r="33" spans="2:8" x14ac:dyDescent="0.25">
      <c r="B33" s="6">
        <f t="shared" si="0"/>
        <v>1.0999999999999999</v>
      </c>
      <c r="C33" s="6">
        <f t="shared" si="1"/>
        <v>1.9062035960864949</v>
      </c>
      <c r="G33" s="6">
        <f t="shared" si="2"/>
        <v>0.42857142857142833</v>
      </c>
      <c r="H33" s="6">
        <f t="shared" si="3"/>
        <v>1.9638002000258039</v>
      </c>
    </row>
    <row r="34" spans="2:8" x14ac:dyDescent="0.25">
      <c r="B34" s="6">
        <f t="shared" si="0"/>
        <v>1.2</v>
      </c>
      <c r="C34" s="6">
        <f t="shared" si="1"/>
        <v>3.6464311358790917</v>
      </c>
      <c r="G34" s="6">
        <f t="shared" si="2"/>
        <v>0.57142857142857117</v>
      </c>
      <c r="H34" s="6">
        <f t="shared" si="3"/>
        <v>1.2449901219632049</v>
      </c>
    </row>
    <row r="35" spans="2:8" x14ac:dyDescent="0.25">
      <c r="B35" s="6">
        <f t="shared" si="0"/>
        <v>1.3</v>
      </c>
      <c r="C35" s="6">
        <f t="shared" si="1"/>
        <v>5.2472852893498212</v>
      </c>
      <c r="G35" s="6">
        <f t="shared" si="2"/>
        <v>0.71428571428571397</v>
      </c>
      <c r="H35" s="6">
        <f t="shared" si="3"/>
        <v>0.42523769176902337</v>
      </c>
    </row>
    <row r="36" spans="2:8" x14ac:dyDescent="0.25">
      <c r="B36" s="6">
        <f t="shared" si="0"/>
        <v>1.4000000000000001</v>
      </c>
      <c r="C36" s="6">
        <f t="shared" si="1"/>
        <v>6.7294447324242599</v>
      </c>
      <c r="G36" s="6">
        <f t="shared" si="2"/>
        <v>0.85714285714285676</v>
      </c>
      <c r="H36" s="6">
        <f t="shared" si="3"/>
        <v>-0.42899251625240975</v>
      </c>
    </row>
    <row r="37" spans="2:8" x14ac:dyDescent="0.25">
      <c r="B37" s="6">
        <f t="shared" si="0"/>
        <v>1.5000000000000002</v>
      </c>
      <c r="C37" s="6">
        <f t="shared" si="1"/>
        <v>8.1093021621632904</v>
      </c>
      <c r="G37" s="6">
        <f t="shared" si="2"/>
        <v>0.99999999999999956</v>
      </c>
      <c r="H37" s="6">
        <f t="shared" si="3"/>
        <v>-1.2484405096414246</v>
      </c>
    </row>
    <row r="38" spans="2:8" x14ac:dyDescent="0.25">
      <c r="B38" s="6">
        <f t="shared" si="0"/>
        <v>1.6000000000000003</v>
      </c>
      <c r="C38" s="6">
        <f t="shared" si="1"/>
        <v>9.4000725849147155</v>
      </c>
    </row>
    <row r="39" spans="2:8" x14ac:dyDescent="0.25">
      <c r="B39" s="6">
        <f t="shared" si="0"/>
        <v>1.7000000000000004</v>
      </c>
      <c r="C39" s="6">
        <f t="shared" si="1"/>
        <v>10.612565021243412</v>
      </c>
    </row>
    <row r="40" spans="2:8" x14ac:dyDescent="0.25">
      <c r="B40" s="6">
        <f t="shared" si="0"/>
        <v>1.8000000000000005</v>
      </c>
      <c r="C40" s="6">
        <f t="shared" si="1"/>
        <v>11.755733298042387</v>
      </c>
    </row>
    <row r="41" spans="2:8" x14ac:dyDescent="0.25">
      <c r="B41" s="6">
        <f t="shared" si="0"/>
        <v>1.9000000000000006</v>
      </c>
      <c r="C41" s="6">
        <f t="shared" si="1"/>
        <v>12.837077723447901</v>
      </c>
    </row>
    <row r="42" spans="2:8" x14ac:dyDescent="0.25">
      <c r="B42" s="6">
        <f t="shared" si="0"/>
        <v>2.0000000000000004</v>
      </c>
      <c r="C42" s="6">
        <f t="shared" si="1"/>
        <v>13.86294361119891</v>
      </c>
    </row>
    <row r="43" spans="2:8" x14ac:dyDescent="0.25">
      <c r="B43" s="6">
        <f t="shared" si="0"/>
        <v>2.1000000000000005</v>
      </c>
      <c r="C43" s="6">
        <f t="shared" si="1"/>
        <v>14.838746894587551</v>
      </c>
    </row>
    <row r="44" spans="2:8" x14ac:dyDescent="0.25">
      <c r="B44" s="6">
        <f t="shared" si="0"/>
        <v>2.2000000000000006</v>
      </c>
      <c r="C44" s="6">
        <f t="shared" si="1"/>
        <v>15.76914720728541</v>
      </c>
    </row>
    <row r="45" spans="2:8" x14ac:dyDescent="0.25">
      <c r="B45" s="6">
        <f t="shared" si="0"/>
        <v>2.3000000000000007</v>
      </c>
      <c r="C45" s="6">
        <f t="shared" si="1"/>
        <v>16.658182458702086</v>
      </c>
    </row>
    <row r="46" spans="2:8" x14ac:dyDescent="0.25">
      <c r="B46" s="6">
        <f t="shared" si="0"/>
        <v>2.4000000000000008</v>
      </c>
      <c r="C46" s="6">
        <f t="shared" si="1"/>
        <v>17.509374747078006</v>
      </c>
    </row>
    <row r="47" spans="2:8" x14ac:dyDescent="0.25">
      <c r="B47" s="6">
        <f t="shared" si="0"/>
        <v>2.5000000000000009</v>
      </c>
      <c r="C47" s="6">
        <f t="shared" si="1"/>
        <v>18.325814637483109</v>
      </c>
    </row>
  </sheetData>
  <pageMargins left="0.75" right="0.75" top="1" bottom="1" header="0.5" footer="0.5"/>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B1:J30"/>
  <sheetViews>
    <sheetView showGridLines="0" workbookViewId="0">
      <selection activeCell="N33" sqref="N33"/>
    </sheetView>
  </sheetViews>
  <sheetFormatPr defaultRowHeight="15" x14ac:dyDescent="0.25"/>
  <cols>
    <col min="1" max="1" width="4" style="17" customWidth="1"/>
    <col min="2" max="5" width="9.109375" style="17"/>
    <col min="6" max="6" width="8.33203125" style="17" customWidth="1"/>
    <col min="7" max="256" width="9.109375" style="17"/>
    <col min="257" max="257" width="4" style="17" customWidth="1"/>
    <col min="258" max="512" width="9.109375" style="17"/>
    <col min="513" max="513" width="4" style="17" customWidth="1"/>
    <col min="514" max="768" width="9.109375" style="17"/>
    <col min="769" max="769" width="4" style="17" customWidth="1"/>
    <col min="770" max="1024" width="9.109375" style="17"/>
    <col min="1025" max="1025" width="4" style="17" customWidth="1"/>
    <col min="1026" max="1280" width="9.109375" style="17"/>
    <col min="1281" max="1281" width="4" style="17" customWidth="1"/>
    <col min="1282" max="1536" width="9.109375" style="17"/>
    <col min="1537" max="1537" width="4" style="17" customWidth="1"/>
    <col min="1538" max="1792" width="9.109375" style="17"/>
    <col min="1793" max="1793" width="4" style="17" customWidth="1"/>
    <col min="1794" max="2048" width="9.109375" style="17"/>
    <col min="2049" max="2049" width="4" style="17" customWidth="1"/>
    <col min="2050" max="2304" width="9.109375" style="17"/>
    <col min="2305" max="2305" width="4" style="17" customWidth="1"/>
    <col min="2306" max="2560" width="9.109375" style="17"/>
    <col min="2561" max="2561" width="4" style="17" customWidth="1"/>
    <col min="2562" max="2816" width="9.109375" style="17"/>
    <col min="2817" max="2817" width="4" style="17" customWidth="1"/>
    <col min="2818" max="3072" width="9.109375" style="17"/>
    <col min="3073" max="3073" width="4" style="17" customWidth="1"/>
    <col min="3074" max="3328" width="9.109375" style="17"/>
    <col min="3329" max="3329" width="4" style="17" customWidth="1"/>
    <col min="3330" max="3584" width="9.109375" style="17"/>
    <col min="3585" max="3585" width="4" style="17" customWidth="1"/>
    <col min="3586" max="3840" width="9.109375" style="17"/>
    <col min="3841" max="3841" width="4" style="17" customWidth="1"/>
    <col min="3842" max="4096" width="9.109375" style="17"/>
    <col min="4097" max="4097" width="4" style="17" customWidth="1"/>
    <col min="4098" max="4352" width="9.109375" style="17"/>
    <col min="4353" max="4353" width="4" style="17" customWidth="1"/>
    <col min="4354" max="4608" width="9.109375" style="17"/>
    <col min="4609" max="4609" width="4" style="17" customWidth="1"/>
    <col min="4610" max="4864" width="9.109375" style="17"/>
    <col min="4865" max="4865" width="4" style="17" customWidth="1"/>
    <col min="4866" max="5120" width="9.109375" style="17"/>
    <col min="5121" max="5121" width="4" style="17" customWidth="1"/>
    <col min="5122" max="5376" width="9.109375" style="17"/>
    <col min="5377" max="5377" width="4" style="17" customWidth="1"/>
    <col min="5378" max="5632" width="9.109375" style="17"/>
    <col min="5633" max="5633" width="4" style="17" customWidth="1"/>
    <col min="5634" max="5888" width="9.109375" style="17"/>
    <col min="5889" max="5889" width="4" style="17" customWidth="1"/>
    <col min="5890" max="6144" width="9.109375" style="17"/>
    <col min="6145" max="6145" width="4" style="17" customWidth="1"/>
    <col min="6146" max="6400" width="9.109375" style="17"/>
    <col min="6401" max="6401" width="4" style="17" customWidth="1"/>
    <col min="6402" max="6656" width="9.109375" style="17"/>
    <col min="6657" max="6657" width="4" style="17" customWidth="1"/>
    <col min="6658" max="6912" width="9.109375" style="17"/>
    <col min="6913" max="6913" width="4" style="17" customWidth="1"/>
    <col min="6914" max="7168" width="9.109375" style="17"/>
    <col min="7169" max="7169" width="4" style="17" customWidth="1"/>
    <col min="7170" max="7424" width="9.109375" style="17"/>
    <col min="7425" max="7425" width="4" style="17" customWidth="1"/>
    <col min="7426" max="7680" width="9.109375" style="17"/>
    <col min="7681" max="7681" width="4" style="17" customWidth="1"/>
    <col min="7682" max="7936" width="9.109375" style="17"/>
    <col min="7937" max="7937" width="4" style="17" customWidth="1"/>
    <col min="7938" max="8192" width="9.109375" style="17"/>
    <col min="8193" max="8193" width="4" style="17" customWidth="1"/>
    <col min="8194" max="8448" width="9.109375" style="17"/>
    <col min="8449" max="8449" width="4" style="17" customWidth="1"/>
    <col min="8450" max="8704" width="9.109375" style="17"/>
    <col min="8705" max="8705" width="4" style="17" customWidth="1"/>
    <col min="8706" max="8960" width="9.109375" style="17"/>
    <col min="8961" max="8961" width="4" style="17" customWidth="1"/>
    <col min="8962" max="9216" width="9.109375" style="17"/>
    <col min="9217" max="9217" width="4" style="17" customWidth="1"/>
    <col min="9218" max="9472" width="9.109375" style="17"/>
    <col min="9473" max="9473" width="4" style="17" customWidth="1"/>
    <col min="9474" max="9728" width="9.109375" style="17"/>
    <col min="9729" max="9729" width="4" style="17" customWidth="1"/>
    <col min="9730" max="9984" width="9.109375" style="17"/>
    <col min="9985" max="9985" width="4" style="17" customWidth="1"/>
    <col min="9986" max="10240" width="9.109375" style="17"/>
    <col min="10241" max="10241" width="4" style="17" customWidth="1"/>
    <col min="10242" max="10496" width="9.109375" style="17"/>
    <col min="10497" max="10497" width="4" style="17" customWidth="1"/>
    <col min="10498" max="10752" width="9.109375" style="17"/>
    <col min="10753" max="10753" width="4" style="17" customWidth="1"/>
    <col min="10754" max="11008" width="9.109375" style="17"/>
    <col min="11009" max="11009" width="4" style="17" customWidth="1"/>
    <col min="11010" max="11264" width="9.109375" style="17"/>
    <col min="11265" max="11265" width="4" style="17" customWidth="1"/>
    <col min="11266" max="11520" width="9.109375" style="17"/>
    <col min="11521" max="11521" width="4" style="17" customWidth="1"/>
    <col min="11522" max="11776" width="9.109375" style="17"/>
    <col min="11777" max="11777" width="4" style="17" customWidth="1"/>
    <col min="11778" max="12032" width="9.109375" style="17"/>
    <col min="12033" max="12033" width="4" style="17" customWidth="1"/>
    <col min="12034" max="12288" width="9.109375" style="17"/>
    <col min="12289" max="12289" width="4" style="17" customWidth="1"/>
    <col min="12290" max="12544" width="9.109375" style="17"/>
    <col min="12545" max="12545" width="4" style="17" customWidth="1"/>
    <col min="12546" max="12800" width="9.109375" style="17"/>
    <col min="12801" max="12801" width="4" style="17" customWidth="1"/>
    <col min="12802" max="13056" width="9.109375" style="17"/>
    <col min="13057" max="13057" width="4" style="17" customWidth="1"/>
    <col min="13058" max="13312" width="9.109375" style="17"/>
    <col min="13313" max="13313" width="4" style="17" customWidth="1"/>
    <col min="13314" max="13568" width="9.109375" style="17"/>
    <col min="13569" max="13569" width="4" style="17" customWidth="1"/>
    <col min="13570" max="13824" width="9.109375" style="17"/>
    <col min="13825" max="13825" width="4" style="17" customWidth="1"/>
    <col min="13826" max="14080" width="9.109375" style="17"/>
    <col min="14081" max="14081" width="4" style="17" customWidth="1"/>
    <col min="14082" max="14336" width="9.109375" style="17"/>
    <col min="14337" max="14337" width="4" style="17" customWidth="1"/>
    <col min="14338" max="14592" width="9.109375" style="17"/>
    <col min="14593" max="14593" width="4" style="17" customWidth="1"/>
    <col min="14594" max="14848" width="9.109375" style="17"/>
    <col min="14849" max="14849" width="4" style="17" customWidth="1"/>
    <col min="14850" max="15104" width="9.109375" style="17"/>
    <col min="15105" max="15105" width="4" style="17" customWidth="1"/>
    <col min="15106" max="15360" width="9.109375" style="17"/>
    <col min="15361" max="15361" width="4" style="17" customWidth="1"/>
    <col min="15362" max="15616" width="9.109375" style="17"/>
    <col min="15617" max="15617" width="4" style="17" customWidth="1"/>
    <col min="15618" max="15872" width="9.109375" style="17"/>
    <col min="15873" max="15873" width="4" style="17" customWidth="1"/>
    <col min="15874" max="16128" width="9.109375" style="17"/>
    <col min="16129" max="16129" width="4" style="17" customWidth="1"/>
    <col min="16130" max="16384" width="9.109375" style="17"/>
  </cols>
  <sheetData>
    <row r="1" spans="2:10" ht="18" customHeight="1" x14ac:dyDescent="0.25"/>
    <row r="2" spans="2:10" x14ac:dyDescent="0.25">
      <c r="B2" s="18" t="s">
        <v>0</v>
      </c>
      <c r="C2" s="18" t="s">
        <v>1</v>
      </c>
      <c r="D2" s="18" t="s">
        <v>2</v>
      </c>
      <c r="E2" s="18" t="s">
        <v>3</v>
      </c>
      <c r="G2" s="18" t="s">
        <v>7</v>
      </c>
      <c r="H2" s="18" t="s">
        <v>8</v>
      </c>
      <c r="I2" s="18" t="s">
        <v>9</v>
      </c>
      <c r="J2" s="18" t="s">
        <v>10</v>
      </c>
    </row>
    <row r="3" spans="2:10" x14ac:dyDescent="0.25">
      <c r="B3" s="19">
        <v>0.1</v>
      </c>
      <c r="C3" s="19">
        <v>2.5</v>
      </c>
      <c r="D3" s="19">
        <v>24</v>
      </c>
      <c r="E3" s="20">
        <f>(b-a)/n</f>
        <v>9.9999999999999992E-2</v>
      </c>
      <c r="G3" s="19">
        <v>-1</v>
      </c>
      <c r="H3" s="19">
        <v>1</v>
      </c>
      <c r="I3" s="19">
        <v>14</v>
      </c>
      <c r="J3" s="21">
        <f>(bb-aa)/nn</f>
        <v>0.14285714285714285</v>
      </c>
    </row>
    <row r="5" spans="2:10" x14ac:dyDescent="0.25">
      <c r="B5" s="22" t="s">
        <v>4</v>
      </c>
      <c r="C5" s="22" t="s">
        <v>5</v>
      </c>
      <c r="E5" s="22" t="s">
        <v>4</v>
      </c>
      <c r="F5" s="22" t="s">
        <v>6</v>
      </c>
    </row>
    <row r="6" spans="2:10" x14ac:dyDescent="0.25">
      <c r="B6" s="23">
        <f>a</f>
        <v>0.1</v>
      </c>
      <c r="C6" s="23">
        <f>20*LN(B6)</f>
        <v>-46.051701859880907</v>
      </c>
      <c r="E6" s="23">
        <f>aa</f>
        <v>-1</v>
      </c>
      <c r="F6" s="23">
        <f>3*COS(2*E6)</f>
        <v>-1.2484405096414273</v>
      </c>
    </row>
    <row r="7" spans="2:10" x14ac:dyDescent="0.25">
      <c r="B7" s="23">
        <f t="shared" ref="B7:B30" si="0">B6+h</f>
        <v>0.2</v>
      </c>
      <c r="C7" s="23">
        <f t="shared" ref="C7:C30" si="1">20*LN(B7)</f>
        <v>-32.188758248682007</v>
      </c>
      <c r="E7" s="23">
        <f t="shared" ref="E7:E20" si="2">E6+hh</f>
        <v>-0.85714285714285721</v>
      </c>
      <c r="F7" s="23">
        <f t="shared" ref="F7:F20" si="3">3*COS(2*E7)</f>
        <v>-0.4289925162524123</v>
      </c>
    </row>
    <row r="8" spans="2:10" x14ac:dyDescent="0.25">
      <c r="B8" s="23">
        <f t="shared" si="0"/>
        <v>0.3</v>
      </c>
      <c r="C8" s="23">
        <f t="shared" si="1"/>
        <v>-24.079456086518721</v>
      </c>
      <c r="E8" s="23">
        <f t="shared" si="2"/>
        <v>-0.71428571428571441</v>
      </c>
      <c r="F8" s="23">
        <f t="shared" si="3"/>
        <v>0.42523769176902071</v>
      </c>
    </row>
    <row r="9" spans="2:10" x14ac:dyDescent="0.25">
      <c r="B9" s="23">
        <f t="shared" si="0"/>
        <v>0.39999999999999997</v>
      </c>
      <c r="C9" s="23">
        <f t="shared" si="1"/>
        <v>-18.325814637483102</v>
      </c>
      <c r="E9" s="23">
        <f t="shared" si="2"/>
        <v>-0.57142857142857162</v>
      </c>
      <c r="F9" s="23">
        <f t="shared" si="3"/>
        <v>1.2449901219632025</v>
      </c>
    </row>
    <row r="10" spans="2:10" x14ac:dyDescent="0.25">
      <c r="B10" s="23">
        <f t="shared" si="0"/>
        <v>0.49999999999999994</v>
      </c>
      <c r="C10" s="23">
        <f t="shared" si="1"/>
        <v>-13.862943611198908</v>
      </c>
      <c r="E10" s="23">
        <f t="shared" si="2"/>
        <v>-0.42857142857142877</v>
      </c>
      <c r="F10" s="23">
        <f t="shared" si="3"/>
        <v>1.9638002000258015</v>
      </c>
    </row>
    <row r="11" spans="2:10" x14ac:dyDescent="0.25">
      <c r="B11" s="23">
        <f t="shared" si="0"/>
        <v>0.6</v>
      </c>
      <c r="C11" s="23">
        <f t="shared" si="1"/>
        <v>-10.216512475319814</v>
      </c>
      <c r="E11" s="23">
        <f t="shared" si="2"/>
        <v>-0.28571428571428592</v>
      </c>
      <c r="F11" s="23">
        <f t="shared" si="3"/>
        <v>2.5233876402457076</v>
      </c>
    </row>
    <row r="12" spans="2:10" x14ac:dyDescent="0.25">
      <c r="B12" s="23">
        <f t="shared" si="0"/>
        <v>0.7</v>
      </c>
      <c r="C12" s="23">
        <f t="shared" si="1"/>
        <v>-7.1334988787746489</v>
      </c>
      <c r="E12" s="23">
        <f t="shared" si="2"/>
        <v>-0.14285714285714307</v>
      </c>
      <c r="F12" s="23">
        <f t="shared" si="3"/>
        <v>2.8783817433357517</v>
      </c>
    </row>
    <row r="13" spans="2:10" x14ac:dyDescent="0.25">
      <c r="B13" s="23">
        <f t="shared" si="0"/>
        <v>0.79999999999999993</v>
      </c>
      <c r="C13" s="23">
        <f t="shared" si="1"/>
        <v>-4.4628710262841969</v>
      </c>
      <c r="E13" s="23">
        <f t="shared" si="2"/>
        <v>-2.2204460492503131E-16</v>
      </c>
      <c r="F13" s="23">
        <f t="shared" si="3"/>
        <v>3</v>
      </c>
    </row>
    <row r="14" spans="2:10" x14ac:dyDescent="0.25">
      <c r="B14" s="23">
        <f t="shared" si="0"/>
        <v>0.89999999999999991</v>
      </c>
      <c r="C14" s="23">
        <f t="shared" si="1"/>
        <v>-2.1072103131565281</v>
      </c>
      <c r="E14" s="23">
        <f t="shared" si="2"/>
        <v>0.14285714285714263</v>
      </c>
      <c r="F14" s="23">
        <f t="shared" si="3"/>
        <v>2.8783817433357521</v>
      </c>
    </row>
    <row r="15" spans="2:10" x14ac:dyDescent="0.25">
      <c r="B15" s="23">
        <f t="shared" si="0"/>
        <v>0.99999999999999989</v>
      </c>
      <c r="C15" s="23">
        <f t="shared" si="1"/>
        <v>-2.2204460492503131E-15</v>
      </c>
      <c r="E15" s="23">
        <f t="shared" si="2"/>
        <v>0.28571428571428548</v>
      </c>
      <c r="F15" s="23">
        <f t="shared" si="3"/>
        <v>2.5233876402457094</v>
      </c>
    </row>
    <row r="16" spans="2:10" x14ac:dyDescent="0.25">
      <c r="B16" s="23">
        <f t="shared" si="0"/>
        <v>1.0999999999999999</v>
      </c>
      <c r="C16" s="23">
        <f t="shared" si="1"/>
        <v>1.9062035960864949</v>
      </c>
      <c r="E16" s="23">
        <f t="shared" si="2"/>
        <v>0.42857142857142833</v>
      </c>
      <c r="F16" s="23">
        <f t="shared" si="3"/>
        <v>1.9638002000258039</v>
      </c>
    </row>
    <row r="17" spans="2:6" x14ac:dyDescent="0.25">
      <c r="B17" s="23">
        <f t="shared" si="0"/>
        <v>1.2</v>
      </c>
      <c r="C17" s="23">
        <f t="shared" si="1"/>
        <v>3.6464311358790917</v>
      </c>
      <c r="E17" s="23">
        <f t="shared" si="2"/>
        <v>0.57142857142857117</v>
      </c>
      <c r="F17" s="23">
        <f t="shared" si="3"/>
        <v>1.2449901219632049</v>
      </c>
    </row>
    <row r="18" spans="2:6" x14ac:dyDescent="0.25">
      <c r="B18" s="23">
        <f t="shared" si="0"/>
        <v>1.3</v>
      </c>
      <c r="C18" s="23">
        <f t="shared" si="1"/>
        <v>5.2472852893498212</v>
      </c>
      <c r="E18" s="23">
        <f t="shared" si="2"/>
        <v>0.71428571428571397</v>
      </c>
      <c r="F18" s="23">
        <f t="shared" si="3"/>
        <v>0.42523769176902337</v>
      </c>
    </row>
    <row r="19" spans="2:6" x14ac:dyDescent="0.25">
      <c r="B19" s="23">
        <f t="shared" si="0"/>
        <v>1.4000000000000001</v>
      </c>
      <c r="C19" s="23">
        <f t="shared" si="1"/>
        <v>6.7294447324242599</v>
      </c>
      <c r="E19" s="23">
        <f t="shared" si="2"/>
        <v>0.85714285714285676</v>
      </c>
      <c r="F19" s="23">
        <f t="shared" si="3"/>
        <v>-0.42899251625240975</v>
      </c>
    </row>
    <row r="20" spans="2:6" x14ac:dyDescent="0.25">
      <c r="B20" s="23">
        <f t="shared" si="0"/>
        <v>1.5000000000000002</v>
      </c>
      <c r="C20" s="23">
        <f t="shared" si="1"/>
        <v>8.1093021621632904</v>
      </c>
      <c r="E20" s="23">
        <f t="shared" si="2"/>
        <v>0.99999999999999956</v>
      </c>
      <c r="F20" s="23">
        <f t="shared" si="3"/>
        <v>-1.2484405096414246</v>
      </c>
    </row>
    <row r="21" spans="2:6" x14ac:dyDescent="0.25">
      <c r="B21" s="23">
        <f t="shared" si="0"/>
        <v>1.6000000000000003</v>
      </c>
      <c r="C21" s="23">
        <f t="shared" si="1"/>
        <v>9.4000725849147155</v>
      </c>
    </row>
    <row r="22" spans="2:6" x14ac:dyDescent="0.25">
      <c r="B22" s="23">
        <f t="shared" si="0"/>
        <v>1.7000000000000004</v>
      </c>
      <c r="C22" s="23">
        <f t="shared" si="1"/>
        <v>10.612565021243412</v>
      </c>
    </row>
    <row r="23" spans="2:6" x14ac:dyDescent="0.25">
      <c r="B23" s="23">
        <f t="shared" si="0"/>
        <v>1.8000000000000005</v>
      </c>
      <c r="C23" s="23">
        <f t="shared" si="1"/>
        <v>11.755733298042387</v>
      </c>
    </row>
    <row r="24" spans="2:6" x14ac:dyDescent="0.25">
      <c r="B24" s="23">
        <f t="shared" si="0"/>
        <v>1.9000000000000006</v>
      </c>
      <c r="C24" s="23">
        <f t="shared" si="1"/>
        <v>12.837077723447901</v>
      </c>
    </row>
    <row r="25" spans="2:6" x14ac:dyDescent="0.25">
      <c r="B25" s="23">
        <f t="shared" si="0"/>
        <v>2.0000000000000004</v>
      </c>
      <c r="C25" s="23">
        <f t="shared" si="1"/>
        <v>13.86294361119891</v>
      </c>
    </row>
    <row r="26" spans="2:6" x14ac:dyDescent="0.25">
      <c r="B26" s="23">
        <f t="shared" si="0"/>
        <v>2.1000000000000005</v>
      </c>
      <c r="C26" s="23">
        <f t="shared" si="1"/>
        <v>14.838746894587551</v>
      </c>
    </row>
    <row r="27" spans="2:6" x14ac:dyDescent="0.25">
      <c r="B27" s="23">
        <f t="shared" si="0"/>
        <v>2.2000000000000006</v>
      </c>
      <c r="C27" s="23">
        <f t="shared" si="1"/>
        <v>15.76914720728541</v>
      </c>
    </row>
    <row r="28" spans="2:6" x14ac:dyDescent="0.25">
      <c r="B28" s="23">
        <f t="shared" si="0"/>
        <v>2.3000000000000007</v>
      </c>
      <c r="C28" s="23">
        <f t="shared" si="1"/>
        <v>16.658182458702086</v>
      </c>
    </row>
    <row r="29" spans="2:6" x14ac:dyDescent="0.25">
      <c r="B29" s="23">
        <f t="shared" si="0"/>
        <v>2.4000000000000008</v>
      </c>
      <c r="C29" s="23">
        <f t="shared" si="1"/>
        <v>17.509374747078006</v>
      </c>
    </row>
    <row r="30" spans="2:6" x14ac:dyDescent="0.25">
      <c r="B30" s="23">
        <f t="shared" si="0"/>
        <v>2.5000000000000009</v>
      </c>
      <c r="C30" s="23">
        <f t="shared" si="1"/>
        <v>18.325814637483109</v>
      </c>
    </row>
  </sheetData>
  <sheetProtection password="C6DC"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92D050"/>
  </sheetPr>
  <dimension ref="B2:J20"/>
  <sheetViews>
    <sheetView tabSelected="1" topLeftCell="B7" workbookViewId="0">
      <selection activeCell="S16" sqref="S16"/>
    </sheetView>
  </sheetViews>
  <sheetFormatPr defaultColWidth="9.109375" defaultRowHeight="13.2" x14ac:dyDescent="0.25"/>
  <cols>
    <col min="1" max="1" width="3.33203125" style="2" customWidth="1"/>
    <col min="2" max="2" width="17.33203125" style="2" customWidth="1"/>
    <col min="3" max="6" width="9.109375" style="2"/>
    <col min="7" max="7" width="13.109375" style="2" customWidth="1"/>
    <col min="8" max="16384" width="9.109375" style="2"/>
  </cols>
  <sheetData>
    <row r="2" spans="2:10" ht="13.8" thickBot="1" x14ac:dyDescent="0.3">
      <c r="B2" s="24" t="s">
        <v>11</v>
      </c>
      <c r="C2" s="25" t="s">
        <v>12</v>
      </c>
      <c r="D2" s="26" t="s">
        <v>13</v>
      </c>
      <c r="E2" s="26" t="s">
        <v>14</v>
      </c>
      <c r="F2" s="26" t="s">
        <v>15</v>
      </c>
      <c r="G2" s="26" t="s">
        <v>16</v>
      </c>
    </row>
    <row r="3" spans="2:10" ht="13.8" thickTop="1" x14ac:dyDescent="0.25">
      <c r="B3" s="27" t="s">
        <v>17</v>
      </c>
      <c r="C3" s="28">
        <v>749</v>
      </c>
      <c r="D3" s="29">
        <v>442</v>
      </c>
      <c r="E3" s="29">
        <v>665</v>
      </c>
      <c r="F3" s="29">
        <v>527</v>
      </c>
      <c r="G3" s="29">
        <v>2383</v>
      </c>
    </row>
    <row r="4" spans="2:10" x14ac:dyDescent="0.25">
      <c r="B4" s="30" t="s">
        <v>18</v>
      </c>
      <c r="C4" s="31">
        <v>920</v>
      </c>
      <c r="D4" s="32">
        <v>45</v>
      </c>
      <c r="E4" s="32">
        <v>45</v>
      </c>
      <c r="F4" s="32">
        <v>210</v>
      </c>
      <c r="G4" s="32">
        <v>1220</v>
      </c>
    </row>
    <row r="5" spans="2:10" x14ac:dyDescent="0.25">
      <c r="B5" s="30" t="s">
        <v>19</v>
      </c>
      <c r="C5" s="31">
        <v>1250</v>
      </c>
      <c r="D5" s="32">
        <v>110</v>
      </c>
      <c r="E5" s="32">
        <v>915</v>
      </c>
      <c r="F5" s="32">
        <v>60</v>
      </c>
      <c r="G5" s="32">
        <v>2335</v>
      </c>
    </row>
    <row r="6" spans="2:10" x14ac:dyDescent="0.25">
      <c r="B6" s="30" t="s">
        <v>20</v>
      </c>
      <c r="C6" s="31">
        <v>300</v>
      </c>
      <c r="D6" s="32">
        <v>45</v>
      </c>
      <c r="E6" s="32"/>
      <c r="F6" s="32">
        <v>510</v>
      </c>
      <c r="G6" s="32">
        <v>855</v>
      </c>
    </row>
    <row r="7" spans="2:10" x14ac:dyDescent="0.25">
      <c r="B7" s="30" t="s">
        <v>16</v>
      </c>
      <c r="C7" s="31">
        <v>3219</v>
      </c>
      <c r="D7" s="32">
        <v>642</v>
      </c>
      <c r="E7" s="32">
        <v>1625</v>
      </c>
      <c r="F7" s="32">
        <v>1307</v>
      </c>
      <c r="G7" s="32">
        <v>6793</v>
      </c>
    </row>
    <row r="12" spans="2:10" x14ac:dyDescent="0.25">
      <c r="I12" s="2" t="s">
        <v>39</v>
      </c>
    </row>
    <row r="13" spans="2:10" ht="14.4" x14ac:dyDescent="0.3">
      <c r="I13" s="60" t="s">
        <v>31</v>
      </c>
      <c r="J13" s="60" t="s">
        <v>30</v>
      </c>
    </row>
    <row r="14" spans="2:10" ht="14.4" x14ac:dyDescent="0.3">
      <c r="I14" s="61" t="s">
        <v>34</v>
      </c>
      <c r="J14" s="62">
        <v>200</v>
      </c>
    </row>
    <row r="15" spans="2:10" ht="14.4" x14ac:dyDescent="0.3">
      <c r="I15" s="32" t="s">
        <v>38</v>
      </c>
      <c r="J15" s="62">
        <v>190</v>
      </c>
    </row>
    <row r="16" spans="2:10" ht="14.4" x14ac:dyDescent="0.3">
      <c r="I16" s="61" t="s">
        <v>37</v>
      </c>
      <c r="J16" s="62">
        <v>30</v>
      </c>
    </row>
    <row r="17" spans="9:10" ht="14.4" x14ac:dyDescent="0.3">
      <c r="I17" s="61" t="s">
        <v>33</v>
      </c>
      <c r="J17" s="62">
        <v>240</v>
      </c>
    </row>
    <row r="18" spans="9:10" ht="14.4" x14ac:dyDescent="0.3">
      <c r="I18" s="61" t="s">
        <v>36</v>
      </c>
      <c r="J18" s="62">
        <v>30</v>
      </c>
    </row>
    <row r="19" spans="9:10" ht="14.4" x14ac:dyDescent="0.3">
      <c r="I19" s="61" t="s">
        <v>32</v>
      </c>
      <c r="J19" s="62">
        <v>270</v>
      </c>
    </row>
    <row r="20" spans="9:10" ht="14.4" x14ac:dyDescent="0.3">
      <c r="I20" s="61" t="s">
        <v>35</v>
      </c>
      <c r="J20" s="62">
        <v>40</v>
      </c>
    </row>
  </sheetData>
  <sortState xmlns:xlrd2="http://schemas.microsoft.com/office/spreadsheetml/2017/richdata2" ref="I14:J20">
    <sortCondition ref="I14"/>
  </sortState>
  <pageMargins left="0.75" right="0.75" top="1" bottom="1" header="0.5" footer="0.5"/>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FF00"/>
  </sheetPr>
  <dimension ref="B2:J18"/>
  <sheetViews>
    <sheetView showGridLines="0" workbookViewId="0">
      <selection activeCell="G37" sqref="G37"/>
    </sheetView>
  </sheetViews>
  <sheetFormatPr defaultColWidth="9.109375" defaultRowHeight="13.2" x14ac:dyDescent="0.25"/>
  <cols>
    <col min="1" max="1" width="3.33203125" style="2" customWidth="1"/>
    <col min="2" max="2" width="17.33203125" style="2" customWidth="1"/>
    <col min="3" max="6" width="9.109375" style="2"/>
    <col min="7" max="7" width="13.109375" style="2" customWidth="1"/>
    <col min="8" max="16384" width="9.109375" style="2"/>
  </cols>
  <sheetData>
    <row r="2" spans="2:10" ht="21.75" customHeight="1" x14ac:dyDescent="0.3">
      <c r="B2" s="50" t="s">
        <v>40</v>
      </c>
    </row>
    <row r="3" spans="2:10" ht="13.8" thickBot="1" x14ac:dyDescent="0.3">
      <c r="B3" s="24" t="s">
        <v>11</v>
      </c>
      <c r="C3" s="25" t="s">
        <v>12</v>
      </c>
      <c r="D3" s="26" t="s">
        <v>13</v>
      </c>
      <c r="E3" s="26" t="s">
        <v>14</v>
      </c>
      <c r="F3" s="26" t="s">
        <v>15</v>
      </c>
      <c r="G3" s="26" t="s">
        <v>16</v>
      </c>
    </row>
    <row r="4" spans="2:10" ht="13.8" thickTop="1" x14ac:dyDescent="0.25">
      <c r="B4" s="27" t="s">
        <v>17</v>
      </c>
      <c r="C4" s="28">
        <v>749</v>
      </c>
      <c r="D4" s="29">
        <v>442</v>
      </c>
      <c r="E4" s="29">
        <v>665</v>
      </c>
      <c r="F4" s="29">
        <v>527</v>
      </c>
      <c r="G4" s="29">
        <v>2383</v>
      </c>
    </row>
    <row r="5" spans="2:10" x14ac:dyDescent="0.25">
      <c r="B5" s="30" t="s">
        <v>18</v>
      </c>
      <c r="C5" s="31">
        <v>920</v>
      </c>
      <c r="D5" s="32">
        <v>45</v>
      </c>
      <c r="E5" s="32">
        <v>45</v>
      </c>
      <c r="F5" s="32">
        <v>210</v>
      </c>
      <c r="G5" s="32">
        <v>1220</v>
      </c>
    </row>
    <row r="6" spans="2:10" x14ac:dyDescent="0.25">
      <c r="B6" s="30" t="s">
        <v>19</v>
      </c>
      <c r="C6" s="31">
        <v>1250</v>
      </c>
      <c r="D6" s="32">
        <v>110</v>
      </c>
      <c r="E6" s="32">
        <v>915</v>
      </c>
      <c r="F6" s="32">
        <v>60</v>
      </c>
      <c r="G6" s="32">
        <v>2335</v>
      </c>
    </row>
    <row r="7" spans="2:10" x14ac:dyDescent="0.25">
      <c r="B7" s="30" t="s">
        <v>20</v>
      </c>
      <c r="C7" s="31">
        <v>300</v>
      </c>
      <c r="D7" s="32">
        <v>45</v>
      </c>
      <c r="E7" s="32"/>
      <c r="F7" s="32">
        <v>510</v>
      </c>
      <c r="G7" s="32">
        <v>855</v>
      </c>
    </row>
    <row r="8" spans="2:10" x14ac:dyDescent="0.25">
      <c r="B8" s="30" t="s">
        <v>16</v>
      </c>
      <c r="C8" s="31">
        <v>3219</v>
      </c>
      <c r="D8" s="32">
        <v>642</v>
      </c>
      <c r="E8" s="32">
        <v>1625</v>
      </c>
      <c r="F8" s="32">
        <v>1307</v>
      </c>
      <c r="G8" s="32">
        <v>6793</v>
      </c>
    </row>
    <row r="10" spans="2:10" ht="17.399999999999999" x14ac:dyDescent="0.3">
      <c r="I10" s="50" t="s">
        <v>41</v>
      </c>
    </row>
    <row r="11" spans="2:10" ht="14.4" x14ac:dyDescent="0.3">
      <c r="I11" s="60" t="s">
        <v>31</v>
      </c>
      <c r="J11" s="60" t="s">
        <v>30</v>
      </c>
    </row>
    <row r="12" spans="2:10" ht="14.4" x14ac:dyDescent="0.3">
      <c r="I12" s="61" t="s">
        <v>32</v>
      </c>
      <c r="J12" s="62">
        <v>270</v>
      </c>
    </row>
    <row r="13" spans="2:10" ht="14.4" x14ac:dyDescent="0.3">
      <c r="I13" s="61" t="s">
        <v>33</v>
      </c>
      <c r="J13" s="62">
        <v>240</v>
      </c>
    </row>
    <row r="14" spans="2:10" ht="14.4" x14ac:dyDescent="0.3">
      <c r="I14" s="61" t="s">
        <v>34</v>
      </c>
      <c r="J14" s="62">
        <v>200</v>
      </c>
    </row>
    <row r="15" spans="2:10" ht="14.4" x14ac:dyDescent="0.3">
      <c r="I15" s="32" t="s">
        <v>38</v>
      </c>
      <c r="J15" s="62">
        <v>190</v>
      </c>
    </row>
    <row r="16" spans="2:10" ht="14.4" x14ac:dyDescent="0.3">
      <c r="I16" s="61" t="s">
        <v>35</v>
      </c>
      <c r="J16" s="62">
        <v>40</v>
      </c>
    </row>
    <row r="17" spans="9:10" ht="14.4" x14ac:dyDescent="0.3">
      <c r="I17" s="61" t="s">
        <v>37</v>
      </c>
      <c r="J17" s="62">
        <v>30</v>
      </c>
    </row>
    <row r="18" spans="9:10" ht="14.4" x14ac:dyDescent="0.3">
      <c r="I18" s="61" t="s">
        <v>36</v>
      </c>
      <c r="J18" s="62">
        <v>30</v>
      </c>
    </row>
  </sheetData>
  <sheetProtection password="C6DC" sheet="1" objects="1" scenarios="1"/>
  <sortState xmlns:xlrd2="http://schemas.microsoft.com/office/spreadsheetml/2017/richdata2" ref="I11:J18">
    <sortCondition descending="1" ref="J12"/>
  </sortState>
  <pageMargins left="0.75" right="0.75" top="1" bottom="1" header="0.5" footer="0.5"/>
  <pageSetup paperSize="9" orientation="portrait" horizontalDpi="200" verticalDpi="2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92D050"/>
  </sheetPr>
  <dimension ref="B1:J29"/>
  <sheetViews>
    <sheetView topLeftCell="A7" workbookViewId="0">
      <selection activeCell="D11" sqref="D11"/>
    </sheetView>
  </sheetViews>
  <sheetFormatPr defaultColWidth="9.109375" defaultRowHeight="15" x14ac:dyDescent="0.25"/>
  <cols>
    <col min="1" max="1" width="8.33203125" style="94" customWidth="1"/>
    <col min="2" max="4" width="12.88671875" style="94" customWidth="1"/>
    <col min="5" max="5" width="13.5546875" style="94" customWidth="1"/>
    <col min="6" max="6" width="12.88671875" style="94" customWidth="1"/>
    <col min="7" max="7" width="15.109375" style="94" customWidth="1"/>
    <col min="8" max="9" width="11.109375" style="94" customWidth="1"/>
    <col min="10" max="10" width="13.109375" style="94" bestFit="1" customWidth="1"/>
    <col min="11" max="16384" width="9.109375" style="94"/>
  </cols>
  <sheetData>
    <row r="1" spans="2:10" s="92" customFormat="1" ht="31.5" customHeight="1" x14ac:dyDescent="0.3"/>
    <row r="3" spans="2:10" ht="21" x14ac:dyDescent="0.4">
      <c r="B3" s="93" t="s">
        <v>294</v>
      </c>
    </row>
    <row r="5" spans="2:10" ht="18" x14ac:dyDescent="0.4">
      <c r="B5" s="95" t="s">
        <v>97</v>
      </c>
      <c r="C5" s="95" t="s">
        <v>98</v>
      </c>
      <c r="D5" s="95" t="s">
        <v>99</v>
      </c>
      <c r="E5" s="95" t="s">
        <v>100</v>
      </c>
      <c r="F5" s="95" t="s">
        <v>29</v>
      </c>
      <c r="H5" s="95" t="s">
        <v>101</v>
      </c>
      <c r="I5" s="95" t="s">
        <v>102</v>
      </c>
      <c r="J5" s="95" t="s">
        <v>103</v>
      </c>
    </row>
    <row r="6" spans="2:10" x14ac:dyDescent="0.25">
      <c r="B6" s="96">
        <v>-10</v>
      </c>
      <c r="C6" s="96">
        <v>10</v>
      </c>
      <c r="D6" s="96">
        <v>20</v>
      </c>
      <c r="E6" s="96">
        <f>(lõpp-algus)/jaotisi</f>
        <v>1</v>
      </c>
      <c r="F6" s="96">
        <v>2</v>
      </c>
      <c r="H6" s="111">
        <f>MIN(y)</f>
        <v>-2.9383717218207628</v>
      </c>
      <c r="I6" s="111">
        <f>MAX(y)</f>
        <v>2.7278922804770449</v>
      </c>
      <c r="J6" s="111">
        <f>AVERAGE(z)</f>
        <v>-0.21100102233361015</v>
      </c>
    </row>
    <row r="8" spans="2:10" ht="15.6" x14ac:dyDescent="0.3">
      <c r="B8" s="95" t="s">
        <v>4</v>
      </c>
      <c r="C8" s="95" t="s">
        <v>5</v>
      </c>
      <c r="D8" s="95" t="s">
        <v>6</v>
      </c>
    </row>
    <row r="9" spans="2:10" x14ac:dyDescent="0.25">
      <c r="B9" s="94">
        <f>algus</f>
        <v>-10</v>
      </c>
      <c r="C9" s="110">
        <f>3*SIN(B9+2)*COS(B9/2)</f>
        <v>-0.84193056732976213</v>
      </c>
      <c r="D9" s="110">
        <f>IF(B9&lt;=p,5*COS(2*B9-3),3*SIN(B9+1))</f>
        <v>-2.6641651016669874</v>
      </c>
    </row>
    <row r="10" spans="2:10" x14ac:dyDescent="0.25">
      <c r="B10" s="94">
        <f>B9+samm</f>
        <v>-9</v>
      </c>
      <c r="C10" s="110">
        <f t="shared" ref="C10:C29" si="0">3*SIN(B10+2)*COS(B10/2)</f>
        <v>0.41547004587670799</v>
      </c>
      <c r="D10" s="110">
        <f t="shared" ref="D9:D29" si="1">IF(B10&lt;=p,5*COS(2*B10-3),3*SIN(B10+1))</f>
        <v>-2.7386463011213418</v>
      </c>
    </row>
    <row r="11" spans="2:10" x14ac:dyDescent="0.25">
      <c r="B11" s="94">
        <f>B10+samm</f>
        <v>-8</v>
      </c>
      <c r="C11" s="110">
        <f t="shared" si="0"/>
        <v>-0.54791447390446779</v>
      </c>
      <c r="D11" s="110">
        <f t="shared" si="1"/>
        <v>4.9435230909333461</v>
      </c>
    </row>
    <row r="12" spans="2:10" x14ac:dyDescent="0.25">
      <c r="B12" s="94">
        <f>B11+samm</f>
        <v>-7</v>
      </c>
      <c r="C12" s="110">
        <f t="shared" si="0"/>
        <v>-2.6939731488413168</v>
      </c>
      <c r="D12" s="110">
        <f t="shared" si="1"/>
        <v>-1.3758166902579847</v>
      </c>
    </row>
    <row r="13" spans="2:10" x14ac:dyDescent="0.25">
      <c r="B13" s="94">
        <f>B12+samm</f>
        <v>-6</v>
      </c>
      <c r="C13" s="110">
        <f t="shared" si="0"/>
        <v>-2.2476863752900278</v>
      </c>
      <c r="D13" s="110">
        <f t="shared" si="1"/>
        <v>-3.7984395642941067</v>
      </c>
    </row>
    <row r="14" spans="2:10" x14ac:dyDescent="0.25">
      <c r="B14" s="94">
        <f>B13+samm</f>
        <v>-5</v>
      </c>
      <c r="C14" s="110">
        <f t="shared" si="0"/>
        <v>0.33917218044928332</v>
      </c>
      <c r="D14" s="110">
        <f t="shared" si="1"/>
        <v>4.5372339072509806</v>
      </c>
    </row>
    <row r="15" spans="2:10" x14ac:dyDescent="0.25">
      <c r="B15" s="94">
        <f>B14+samm</f>
        <v>-4</v>
      </c>
      <c r="C15" s="110">
        <f t="shared" si="0"/>
        <v>1.1352037429618924</v>
      </c>
      <c r="D15" s="110">
        <f t="shared" si="1"/>
        <v>2.2128489940253928E-2</v>
      </c>
    </row>
    <row r="16" spans="2:10" x14ac:dyDescent="0.25">
      <c r="B16" s="94">
        <f>B15+samm</f>
        <v>-3</v>
      </c>
      <c r="C16" s="110">
        <f t="shared" si="0"/>
        <v>-0.1785699082496302</v>
      </c>
      <c r="D16" s="110">
        <f t="shared" si="1"/>
        <v>-4.5556513094233848</v>
      </c>
    </row>
    <row r="17" spans="2:4" x14ac:dyDescent="0.25">
      <c r="B17" s="94">
        <f>B16+samm</f>
        <v>-2</v>
      </c>
      <c r="C17" s="110">
        <f t="shared" si="0"/>
        <v>0</v>
      </c>
      <c r="D17" s="110">
        <f t="shared" si="1"/>
        <v>3.7695112717165231</v>
      </c>
    </row>
    <row r="18" spans="2:4" x14ac:dyDescent="0.25">
      <c r="B18" s="94">
        <f>B17+samm</f>
        <v>-1</v>
      </c>
      <c r="C18" s="110">
        <f t="shared" si="0"/>
        <v>2.2153807878123861</v>
      </c>
      <c r="D18" s="110">
        <f t="shared" si="1"/>
        <v>1.4183109273161312</v>
      </c>
    </row>
    <row r="19" spans="2:4" x14ac:dyDescent="0.25">
      <c r="B19" s="94">
        <f>B18+samm</f>
        <v>0</v>
      </c>
      <c r="C19" s="110">
        <f t="shared" si="0"/>
        <v>2.7278922804770449</v>
      </c>
      <c r="D19" s="110">
        <f t="shared" si="1"/>
        <v>-4.9499624830022269</v>
      </c>
    </row>
    <row r="20" spans="2:4" x14ac:dyDescent="0.25">
      <c r="B20" s="94">
        <f>B19+samm</f>
        <v>1</v>
      </c>
      <c r="C20" s="110">
        <f t="shared" si="0"/>
        <v>0.37153337462150493</v>
      </c>
      <c r="D20" s="110">
        <f t="shared" si="1"/>
        <v>2.7015115293406988</v>
      </c>
    </row>
    <row r="21" spans="2:4" x14ac:dyDescent="0.25">
      <c r="B21" s="94">
        <f>B20+samm</f>
        <v>2</v>
      </c>
      <c r="C21" s="110">
        <f t="shared" si="0"/>
        <v>-1.2267063999049068</v>
      </c>
      <c r="D21" s="110">
        <f t="shared" si="1"/>
        <v>2.7015115293406988</v>
      </c>
    </row>
    <row r="22" spans="2:4" x14ac:dyDescent="0.25">
      <c r="B22" s="94">
        <f>B21+samm</f>
        <v>3</v>
      </c>
      <c r="C22" s="110">
        <f t="shared" si="0"/>
        <v>-0.20349485940270645</v>
      </c>
      <c r="D22" s="110">
        <f t="shared" si="1"/>
        <v>-2.2704074859237844</v>
      </c>
    </row>
    <row r="23" spans="2:4" x14ac:dyDescent="0.25">
      <c r="B23" s="94">
        <f>B22+samm</f>
        <v>4</v>
      </c>
      <c r="C23" s="110">
        <f t="shared" si="0"/>
        <v>0.34883362697318027</v>
      </c>
      <c r="D23" s="110">
        <f t="shared" si="1"/>
        <v>-2.8767728239894153</v>
      </c>
    </row>
    <row r="24" spans="2:4" x14ac:dyDescent="0.25">
      <c r="B24" s="94">
        <f>B23+samm</f>
        <v>5</v>
      </c>
      <c r="C24" s="110">
        <f t="shared" si="0"/>
        <v>-1.5790218571903594</v>
      </c>
      <c r="D24" s="110">
        <f t="shared" si="1"/>
        <v>-0.83824649459677758</v>
      </c>
    </row>
    <row r="25" spans="2:4" x14ac:dyDescent="0.25">
      <c r="B25" s="94">
        <f>B24+samm</f>
        <v>6</v>
      </c>
      <c r="C25" s="110">
        <f t="shared" si="0"/>
        <v>-2.9383717218207628</v>
      </c>
      <c r="D25" s="110">
        <f t="shared" si="1"/>
        <v>1.9709597961563672</v>
      </c>
    </row>
    <row r="26" spans="2:4" x14ac:dyDescent="0.25">
      <c r="B26" s="94">
        <f>B25+samm</f>
        <v>7</v>
      </c>
      <c r="C26" s="110">
        <f t="shared" si="0"/>
        <v>-1.157793334382389</v>
      </c>
      <c r="D26" s="110">
        <f t="shared" si="1"/>
        <v>2.9680747398701453</v>
      </c>
    </row>
    <row r="27" spans="2:4" x14ac:dyDescent="0.25">
      <c r="B27" s="94">
        <f>B26+samm</f>
        <v>8</v>
      </c>
      <c r="C27" s="110">
        <f t="shared" si="0"/>
        <v>1.0667877862439166</v>
      </c>
      <c r="D27" s="110">
        <f t="shared" si="1"/>
        <v>1.2363554557252698</v>
      </c>
    </row>
    <row r="28" spans="2:4" x14ac:dyDescent="0.25">
      <c r="B28" s="94">
        <f>B27+samm</f>
        <v>9</v>
      </c>
      <c r="C28" s="110">
        <f t="shared" si="0"/>
        <v>0.6323812050384181</v>
      </c>
      <c r="D28" s="110">
        <f t="shared" si="1"/>
        <v>-1.6320633326681093</v>
      </c>
    </row>
    <row r="29" spans="2:4" x14ac:dyDescent="0.25">
      <c r="B29" s="94">
        <f>B28+samm</f>
        <v>10</v>
      </c>
      <c r="C29" s="110">
        <f t="shared" si="0"/>
        <v>-0.45661633974115162</v>
      </c>
      <c r="D29" s="110">
        <f t="shared" si="1"/>
        <v>-2.9999706196521103</v>
      </c>
    </row>
  </sheetData>
  <pageMargins left="0.75" right="0.75" top="1" bottom="1" header="0.5" footer="0.5"/>
  <pageSetup paperSize="9"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FF00"/>
  </sheetPr>
  <dimension ref="A1"/>
  <sheetViews>
    <sheetView topLeftCell="A4" workbookViewId="0">
      <selection activeCell="L36" sqref="L36"/>
    </sheetView>
  </sheetViews>
  <sheetFormatPr defaultRowHeight="14.4" x14ac:dyDescent="0.3"/>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92D050"/>
  </sheetPr>
  <dimension ref="I1:P32"/>
  <sheetViews>
    <sheetView workbookViewId="0">
      <selection activeCell="M4" sqref="M4"/>
    </sheetView>
  </sheetViews>
  <sheetFormatPr defaultRowHeight="14.4" x14ac:dyDescent="0.3"/>
  <cols>
    <col min="9" max="9" width="12.5546875" bestFit="1" customWidth="1"/>
    <col min="10" max="10" width="26.5546875" bestFit="1" customWidth="1"/>
    <col min="11" max="11" width="10.109375" bestFit="1" customWidth="1"/>
    <col min="12" max="12" width="12.6640625" bestFit="1" customWidth="1"/>
    <col min="14" max="14" width="14.6640625" bestFit="1" customWidth="1"/>
    <col min="15" max="15" width="16.44140625" customWidth="1"/>
  </cols>
  <sheetData>
    <row r="1" spans="9:16" x14ac:dyDescent="0.3">
      <c r="J1" t="s">
        <v>331</v>
      </c>
      <c r="K1" s="112">
        <f ca="1">TODAY()</f>
        <v>45306</v>
      </c>
    </row>
    <row r="3" spans="9:16" x14ac:dyDescent="0.3">
      <c r="I3" s="101" t="s">
        <v>298</v>
      </c>
      <c r="J3" s="101" t="s">
        <v>299</v>
      </c>
      <c r="K3" t="s">
        <v>323</v>
      </c>
      <c r="L3" t="s">
        <v>324</v>
      </c>
      <c r="N3" t="s">
        <v>334</v>
      </c>
      <c r="O3" t="s">
        <v>324</v>
      </c>
      <c r="P3" t="s">
        <v>325</v>
      </c>
    </row>
    <row r="4" spans="9:16" x14ac:dyDescent="0.3">
      <c r="I4" s="101" t="s">
        <v>300</v>
      </c>
      <c r="J4" s="113">
        <v>35340</v>
      </c>
      <c r="K4" s="114">
        <f t="shared" ref="K4:K26" ca="1" si="0">ROUNDDOWN(YEARFRAC($K$1,J4),)</f>
        <v>27</v>
      </c>
      <c r="L4" t="str">
        <f ca="1">IF(K4&lt;=20,$O$4,IF(K4&lt;26,$O$5,IF(K4&gt;30,$O$7,$O$6)))</f>
        <v>26-30</v>
      </c>
      <c r="M4" t="str">
        <f ca="1">INDEX(Vanusegrupp,MATCH(K4,min,1))</f>
        <v>26-30</v>
      </c>
      <c r="N4">
        <v>0</v>
      </c>
      <c r="O4" t="s">
        <v>326</v>
      </c>
      <c r="P4">
        <f ca="1">COUNTIF($L$4:$L$26,O4)</f>
        <v>0</v>
      </c>
    </row>
    <row r="5" spans="9:16" x14ac:dyDescent="0.3">
      <c r="I5" s="101" t="s">
        <v>301</v>
      </c>
      <c r="J5" s="113">
        <v>31872</v>
      </c>
      <c r="K5" s="114">
        <f t="shared" ca="1" si="0"/>
        <v>36</v>
      </c>
      <c r="L5" t="str">
        <f ca="1">IF(K5&lt;=20,$O$4,IF(K5&lt;26,$O$5,IF(K5&gt;30,$O$7,$O$6)))</f>
        <v>üle 30</v>
      </c>
      <c r="M5" t="str">
        <f ca="1">INDEX(Vanusegrupp,MATCH(K5,min,1))</f>
        <v>üle 30</v>
      </c>
      <c r="N5">
        <v>21</v>
      </c>
      <c r="O5" t="s">
        <v>327</v>
      </c>
      <c r="P5">
        <f ca="1">COUNTIF($L$4:$L$26,O5)</f>
        <v>3</v>
      </c>
    </row>
    <row r="6" spans="9:16" x14ac:dyDescent="0.3">
      <c r="I6" s="101" t="s">
        <v>302</v>
      </c>
      <c r="J6" s="113">
        <v>30993</v>
      </c>
      <c r="K6" s="114">
        <f t="shared" ca="1" si="0"/>
        <v>39</v>
      </c>
      <c r="L6" t="str">
        <f ca="1">IF(K6&lt;=20,$O$4,IF(K6&lt;26,$O$5,IF(K6&gt;30,$O$7,$O$6)))</f>
        <v>üle 30</v>
      </c>
      <c r="M6" t="str">
        <f ca="1">INDEX(Vanusegrupp,MATCH(K6,min,1))</f>
        <v>üle 30</v>
      </c>
      <c r="N6">
        <v>26</v>
      </c>
      <c r="O6" t="s">
        <v>328</v>
      </c>
      <c r="P6">
        <f ca="1">COUNTIF($L$4:$L$26,O6)</f>
        <v>9</v>
      </c>
    </row>
    <row r="7" spans="9:16" x14ac:dyDescent="0.3">
      <c r="I7" s="101" t="s">
        <v>303</v>
      </c>
      <c r="J7" s="113">
        <v>34105</v>
      </c>
      <c r="K7" s="114">
        <f t="shared" ca="1" si="0"/>
        <v>30</v>
      </c>
      <c r="L7" t="str">
        <f ca="1">IF(K7&lt;=20,$O$4,IF(K7&lt;26,$O$5,IF(K7&gt;30,$O$7,$O$6)))</f>
        <v>26-30</v>
      </c>
      <c r="M7" t="str">
        <f ca="1">INDEX(Vanusegrupp,MATCH(K7,min,1))</f>
        <v>üle 30</v>
      </c>
      <c r="N7">
        <v>30</v>
      </c>
      <c r="O7" t="s">
        <v>329</v>
      </c>
      <c r="P7">
        <f ca="1">COUNTIF($L$4:$L$26,O7)</f>
        <v>11</v>
      </c>
    </row>
    <row r="8" spans="9:16" x14ac:dyDescent="0.3">
      <c r="I8" s="101" t="s">
        <v>304</v>
      </c>
      <c r="J8" s="113">
        <v>33636</v>
      </c>
      <c r="K8" s="114">
        <f t="shared" ca="1" si="0"/>
        <v>31</v>
      </c>
      <c r="L8" t="str">
        <f ca="1">IF(K8&lt;=20,$O$4,IF(K8&lt;26,$O$5,IF(K8&gt;30,$O$7,$O$6)))</f>
        <v>üle 30</v>
      </c>
      <c r="M8" t="str">
        <f ca="1">INDEX(Vanusegrupp,MATCH(K8,min,1))</f>
        <v>üle 30</v>
      </c>
    </row>
    <row r="9" spans="9:16" x14ac:dyDescent="0.3">
      <c r="I9" s="101" t="s">
        <v>305</v>
      </c>
      <c r="J9" s="113">
        <v>34977</v>
      </c>
      <c r="K9" s="114">
        <f t="shared" ca="1" si="0"/>
        <v>28</v>
      </c>
      <c r="L9" t="str">
        <f ca="1">IF(K9&lt;=20,$O$4,IF(K9&lt;26,$O$5,IF(K9&gt;30,$O$7,$O$6)))</f>
        <v>26-30</v>
      </c>
      <c r="M9" t="str">
        <f ca="1">INDEX(Vanusegrupp,MATCH(K9,min,1))</f>
        <v>26-30</v>
      </c>
    </row>
    <row r="10" spans="9:16" x14ac:dyDescent="0.3">
      <c r="I10" s="101" t="s">
        <v>306</v>
      </c>
      <c r="J10" s="113">
        <v>31350</v>
      </c>
      <c r="K10" s="114">
        <f t="shared" ca="1" si="0"/>
        <v>38</v>
      </c>
      <c r="L10" t="str">
        <f ca="1">IF(K10&lt;=20,$O$4,IF(K10&lt;26,$O$5,IF(K10&gt;30,$O$7,$O$6)))</f>
        <v>üle 30</v>
      </c>
      <c r="M10" t="str">
        <f ca="1">INDEX(Vanusegrupp,MATCH(K10,min,1))</f>
        <v>üle 30</v>
      </c>
    </row>
    <row r="11" spans="9:16" x14ac:dyDescent="0.3">
      <c r="I11" s="101" t="s">
        <v>307</v>
      </c>
      <c r="J11" s="113">
        <v>32173</v>
      </c>
      <c r="K11" s="114">
        <f t="shared" ca="1" si="0"/>
        <v>35</v>
      </c>
      <c r="L11" t="str">
        <f ca="1">IF(K11&lt;=20,$O$4,IF(K11&lt;26,$O$5,IF(K11&gt;30,$O$7,$O$6)))</f>
        <v>üle 30</v>
      </c>
      <c r="M11" t="str">
        <f ca="1">INDEX(Vanusegrupp,MATCH(K11,min,1))</f>
        <v>üle 30</v>
      </c>
    </row>
    <row r="12" spans="9:16" x14ac:dyDescent="0.3">
      <c r="I12" s="101" t="s">
        <v>308</v>
      </c>
      <c r="J12" s="113">
        <v>31192</v>
      </c>
      <c r="K12" s="114">
        <f t="shared" ca="1" si="0"/>
        <v>38</v>
      </c>
      <c r="L12" t="str">
        <f ca="1">IF(K12&lt;=20,$O$4,IF(K12&lt;26,$O$5,IF(K12&gt;30,$O$7,$O$6)))</f>
        <v>üle 30</v>
      </c>
      <c r="M12" t="str">
        <f ca="1">INDEX(Vanusegrupp,MATCH(K12,min,1))</f>
        <v>üle 30</v>
      </c>
    </row>
    <row r="13" spans="9:16" x14ac:dyDescent="0.3">
      <c r="I13" s="101" t="s">
        <v>309</v>
      </c>
      <c r="J13" s="113">
        <v>35160</v>
      </c>
      <c r="K13" s="114">
        <f t="shared" ca="1" si="0"/>
        <v>27</v>
      </c>
      <c r="L13" t="str">
        <f ca="1">IF(K13&lt;=20,$O$4,IF(K13&lt;26,$O$5,IF(K13&gt;30,$O$7,$O$6)))</f>
        <v>26-30</v>
      </c>
      <c r="M13" t="str">
        <f ca="1">INDEX(Vanusegrupp,MATCH(K13,min,1))</f>
        <v>26-30</v>
      </c>
    </row>
    <row r="14" spans="9:16" x14ac:dyDescent="0.3">
      <c r="I14" s="101" t="s">
        <v>310</v>
      </c>
      <c r="J14" s="113">
        <v>34033</v>
      </c>
      <c r="K14" s="114">
        <f t="shared" ca="1" si="0"/>
        <v>30</v>
      </c>
      <c r="L14" t="str">
        <f ca="1">IF(K14&lt;=20,$O$4,IF(K14&lt;26,$O$5,IF(K14&gt;30,$O$7,$O$6)))</f>
        <v>26-30</v>
      </c>
      <c r="M14" t="str">
        <f ca="1">INDEX(Vanusegrupp,MATCH(K14,min,1))</f>
        <v>üle 30</v>
      </c>
    </row>
    <row r="15" spans="9:16" x14ac:dyDescent="0.3">
      <c r="I15" s="101" t="s">
        <v>311</v>
      </c>
      <c r="J15" s="113">
        <v>32386</v>
      </c>
      <c r="K15" s="114">
        <f t="shared" ca="1" si="0"/>
        <v>35</v>
      </c>
      <c r="L15" t="str">
        <f ca="1">IF(K15&lt;=20,$O$4,IF(K15&lt;26,$O$5,IF(K15&gt;30,$O$7,$O$6)))</f>
        <v>üle 30</v>
      </c>
      <c r="M15" t="str">
        <f ca="1">INDEX(Vanusegrupp,MATCH(K15,min,1))</f>
        <v>üle 30</v>
      </c>
    </row>
    <row r="16" spans="9:16" x14ac:dyDescent="0.3">
      <c r="I16" s="101" t="s">
        <v>312</v>
      </c>
      <c r="J16" s="113">
        <v>30000</v>
      </c>
      <c r="K16" s="114">
        <f t="shared" ca="1" si="0"/>
        <v>41</v>
      </c>
      <c r="L16" t="str">
        <f ca="1">IF(K16&lt;=20,$O$4,IF(K16&lt;26,$O$5,IF(K16&gt;30,$O$7,$O$6)))</f>
        <v>üle 30</v>
      </c>
      <c r="M16" t="str">
        <f ca="1">INDEX(Vanusegrupp,MATCH(K16,min,1))</f>
        <v>üle 30</v>
      </c>
    </row>
    <row r="17" spans="9:13" x14ac:dyDescent="0.3">
      <c r="I17" s="101" t="s">
        <v>313</v>
      </c>
      <c r="J17" s="113">
        <v>30910</v>
      </c>
      <c r="K17" s="114">
        <f t="shared" ca="1" si="0"/>
        <v>39</v>
      </c>
      <c r="L17" t="str">
        <f ca="1">IF(K17&lt;=20,$O$4,IF(K17&lt;26,$O$5,IF(K17&gt;30,$O$7,$O$6)))</f>
        <v>üle 30</v>
      </c>
      <c r="M17" t="str">
        <f ca="1">INDEX(Vanusegrupp,MATCH(K17,min,1))</f>
        <v>üle 30</v>
      </c>
    </row>
    <row r="18" spans="9:13" x14ac:dyDescent="0.3">
      <c r="I18" s="101" t="s">
        <v>314</v>
      </c>
      <c r="J18" s="113">
        <v>36428</v>
      </c>
      <c r="K18" s="114">
        <f t="shared" ca="1" si="0"/>
        <v>24</v>
      </c>
      <c r="L18" t="str">
        <f ca="1">IF(K18&lt;=20,$O$4,IF(K18&lt;26,$O$5,IF(K18&gt;30,$O$7,$O$6)))</f>
        <v>21-25</v>
      </c>
      <c r="M18" t="str">
        <f ca="1">INDEX(Vanusegrupp,MATCH(K18,min,1))</f>
        <v>21-25</v>
      </c>
    </row>
    <row r="19" spans="9:13" x14ac:dyDescent="0.3">
      <c r="I19" s="101" t="s">
        <v>315</v>
      </c>
      <c r="J19" s="113">
        <v>35975</v>
      </c>
      <c r="K19" s="114">
        <f t="shared" ca="1" si="0"/>
        <v>25</v>
      </c>
      <c r="L19" t="str">
        <f ca="1">IF(K19&lt;=20,$O$4,IF(K19&lt;26,$O$5,IF(K19&gt;30,$O$7,$O$6)))</f>
        <v>21-25</v>
      </c>
      <c r="M19" t="str">
        <f ca="1">INDEX(Vanusegrupp,MATCH(K19,min,1))</f>
        <v>21-25</v>
      </c>
    </row>
    <row r="20" spans="9:13" x14ac:dyDescent="0.3">
      <c r="I20" s="101" t="s">
        <v>316</v>
      </c>
      <c r="J20" s="113">
        <v>35132</v>
      </c>
      <c r="K20" s="114">
        <f t="shared" ca="1" si="0"/>
        <v>27</v>
      </c>
      <c r="L20" t="str">
        <f ca="1">IF(K20&lt;=20,$O$4,IF(K20&lt;26,$O$5,IF(K20&gt;30,$O$7,$O$6)))</f>
        <v>26-30</v>
      </c>
      <c r="M20" t="str">
        <f ca="1">INDEX(Vanusegrupp,MATCH(K20,min,1))</f>
        <v>26-30</v>
      </c>
    </row>
    <row r="21" spans="9:13" x14ac:dyDescent="0.3">
      <c r="I21" s="101" t="s">
        <v>317</v>
      </c>
      <c r="J21" s="113">
        <v>35396</v>
      </c>
      <c r="K21" s="114">
        <f t="shared" ca="1" si="0"/>
        <v>27</v>
      </c>
      <c r="L21" t="str">
        <f ca="1">IF(K21&lt;=20,$O$4,IF(K21&lt;26,$O$5,IF(K21&gt;30,$O$7,$O$6)))</f>
        <v>26-30</v>
      </c>
      <c r="M21" t="str">
        <f ca="1">INDEX(Vanusegrupp,MATCH(K21,min,1))</f>
        <v>26-30</v>
      </c>
    </row>
    <row r="22" spans="9:13" x14ac:dyDescent="0.3">
      <c r="I22" s="101" t="s">
        <v>318</v>
      </c>
      <c r="J22" s="113">
        <v>35253</v>
      </c>
      <c r="K22" s="114">
        <f t="shared" ca="1" si="0"/>
        <v>27</v>
      </c>
      <c r="L22" t="str">
        <f ca="1">IF(K22&lt;=20,$O$4,IF(K22&lt;26,$O$5,IF(K22&gt;30,$O$7,$O$6)))</f>
        <v>26-30</v>
      </c>
      <c r="M22" t="str">
        <f ca="1">INDEX(Vanusegrupp,MATCH(K22,min,1))</f>
        <v>26-30</v>
      </c>
    </row>
    <row r="23" spans="9:13" x14ac:dyDescent="0.3">
      <c r="I23" s="101" t="s">
        <v>319</v>
      </c>
      <c r="J23" s="113">
        <v>33378</v>
      </c>
      <c r="K23" s="114">
        <f t="shared" ca="1" si="0"/>
        <v>32</v>
      </c>
      <c r="L23" t="str">
        <f ca="1">IF(K23&lt;=20,$O$4,IF(K23&lt;26,$O$5,IF(K23&gt;30,$O$7,$O$6)))</f>
        <v>üle 30</v>
      </c>
      <c r="M23" t="str">
        <f ca="1">INDEX(Vanusegrupp,MATCH(K23,min,1))</f>
        <v>üle 30</v>
      </c>
    </row>
    <row r="24" spans="9:13" x14ac:dyDescent="0.3">
      <c r="I24" s="101" t="s">
        <v>320</v>
      </c>
      <c r="J24" s="113">
        <v>36349</v>
      </c>
      <c r="K24" s="114">
        <f t="shared" ca="1" si="0"/>
        <v>24</v>
      </c>
      <c r="L24" t="str">
        <f ca="1">IF(K24&lt;=20,$O$4,IF(K24&lt;26,$O$5,IF(K24&gt;30,$O$7,$O$6)))</f>
        <v>21-25</v>
      </c>
      <c r="M24" t="str">
        <f ca="1">INDEX(Vanusegrupp,MATCH(K24,min,1))</f>
        <v>21-25</v>
      </c>
    </row>
    <row r="25" spans="9:13" x14ac:dyDescent="0.3">
      <c r="I25" s="101" t="s">
        <v>321</v>
      </c>
      <c r="J25" s="113">
        <v>32618</v>
      </c>
      <c r="K25" s="114">
        <f t="shared" ca="1" si="0"/>
        <v>34</v>
      </c>
      <c r="L25" t="str">
        <f ca="1">IF(K25&lt;=20,$O$4,IF(K25&lt;26,$O$5,IF(K25&gt;30,$O$7,$O$6)))</f>
        <v>üle 30</v>
      </c>
      <c r="M25" t="str">
        <f ca="1">INDEX(Vanusegrupp,MATCH(K25,min,1))</f>
        <v>üle 30</v>
      </c>
    </row>
    <row r="26" spans="9:13" x14ac:dyDescent="0.3">
      <c r="I26" s="101" t="s">
        <v>322</v>
      </c>
      <c r="J26" s="113">
        <v>35087</v>
      </c>
      <c r="K26" s="114">
        <f t="shared" ca="1" si="0"/>
        <v>27</v>
      </c>
      <c r="L26" t="str">
        <f ca="1">IF(K26&lt;=20,$O$4,IF(K26&lt;26,$O$5,IF(K26&gt;30,$O$7,$O$6)))</f>
        <v>26-30</v>
      </c>
      <c r="M26" t="str">
        <f ca="1">INDEX(Vanusegrupp,MATCH(K26,min,1))</f>
        <v>26-30</v>
      </c>
    </row>
    <row r="28" spans="9:13" x14ac:dyDescent="0.3">
      <c r="I28" s="115" t="s">
        <v>332</v>
      </c>
      <c r="J28" t="s">
        <v>330</v>
      </c>
    </row>
    <row r="29" spans="9:13" x14ac:dyDescent="0.3">
      <c r="I29" s="116" t="s">
        <v>327</v>
      </c>
      <c r="J29" s="121">
        <v>3</v>
      </c>
    </row>
    <row r="30" spans="9:13" x14ac:dyDescent="0.3">
      <c r="I30" s="116" t="s">
        <v>328</v>
      </c>
      <c r="J30" s="121">
        <v>9</v>
      </c>
    </row>
    <row r="31" spans="9:13" x14ac:dyDescent="0.3">
      <c r="I31" s="116" t="s">
        <v>329</v>
      </c>
      <c r="J31" s="121">
        <v>11</v>
      </c>
    </row>
    <row r="32" spans="9:13" x14ac:dyDescent="0.3">
      <c r="I32" s="116" t="s">
        <v>333</v>
      </c>
      <c r="J32" s="121">
        <v>23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FF00"/>
  </sheetPr>
  <dimension ref="A1"/>
  <sheetViews>
    <sheetView workbookViewId="0">
      <selection activeCell="X6" sqref="X6"/>
    </sheetView>
  </sheetViews>
  <sheetFormatPr defaultRowHeight="14.4" x14ac:dyDescent="0.3"/>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D10E6-78F0-4EFE-8141-583AA7F8183B}">
  <dimension ref="A1:B10"/>
  <sheetViews>
    <sheetView workbookViewId="0">
      <selection sqref="A1:B10"/>
    </sheetView>
  </sheetViews>
  <sheetFormatPr defaultRowHeight="14.4" x14ac:dyDescent="0.3"/>
  <cols>
    <col min="2" max="2" width="14.109375" customWidth="1"/>
  </cols>
  <sheetData>
    <row r="1" spans="1:2" x14ac:dyDescent="0.3">
      <c r="A1" t="s">
        <v>323</v>
      </c>
      <c r="B1" t="s">
        <v>324</v>
      </c>
    </row>
    <row r="2" spans="1:2" x14ac:dyDescent="0.3">
      <c r="A2">
        <v>27</v>
      </c>
      <c r="B2" t="s">
        <v>328</v>
      </c>
    </row>
    <row r="3" spans="1:2" x14ac:dyDescent="0.3">
      <c r="A3">
        <v>27</v>
      </c>
      <c r="B3" t="s">
        <v>328</v>
      </c>
    </row>
    <row r="4" spans="1:2" x14ac:dyDescent="0.3">
      <c r="A4">
        <v>27</v>
      </c>
      <c r="B4" t="s">
        <v>328</v>
      </c>
    </row>
    <row r="5" spans="1:2" x14ac:dyDescent="0.3">
      <c r="A5">
        <v>30</v>
      </c>
      <c r="B5" t="s">
        <v>328</v>
      </c>
    </row>
    <row r="6" spans="1:2" x14ac:dyDescent="0.3">
      <c r="A6">
        <v>27</v>
      </c>
      <c r="B6" t="s">
        <v>328</v>
      </c>
    </row>
    <row r="7" spans="1:2" x14ac:dyDescent="0.3">
      <c r="A7">
        <v>28</v>
      </c>
      <c r="B7" t="s">
        <v>328</v>
      </c>
    </row>
    <row r="8" spans="1:2" x14ac:dyDescent="0.3">
      <c r="A8">
        <v>27</v>
      </c>
      <c r="B8" t="s">
        <v>328</v>
      </c>
    </row>
    <row r="9" spans="1:2" x14ac:dyDescent="0.3">
      <c r="A9">
        <v>30</v>
      </c>
      <c r="B9" t="s">
        <v>328</v>
      </c>
    </row>
    <row r="10" spans="1:2" x14ac:dyDescent="0.3">
      <c r="A10">
        <v>27</v>
      </c>
      <c r="B10" t="s">
        <v>328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5" tint="0.59999389629810485"/>
  </sheetPr>
  <dimension ref="B2:O45"/>
  <sheetViews>
    <sheetView topLeftCell="A10" workbookViewId="0">
      <selection activeCell="F33" sqref="F33"/>
    </sheetView>
  </sheetViews>
  <sheetFormatPr defaultColWidth="9.109375" defaultRowHeight="13.2" x14ac:dyDescent="0.25"/>
  <cols>
    <col min="1" max="1" width="3.5546875" style="2" customWidth="1"/>
    <col min="2" max="2" width="9.109375" style="2"/>
    <col min="3" max="3" width="17.5546875" style="2" customWidth="1"/>
    <col min="4" max="4" width="15.44140625" style="2" customWidth="1"/>
    <col min="5" max="5" width="11.5546875" style="2" customWidth="1"/>
    <col min="6" max="6" width="9.109375" style="2"/>
    <col min="7" max="8" width="12.44140625" style="2" bestFit="1" customWidth="1"/>
    <col min="9" max="9" width="10.44140625" style="2" bestFit="1" customWidth="1"/>
    <col min="10" max="10" width="11.33203125" style="2" customWidth="1"/>
    <col min="11" max="11" width="3" style="2" customWidth="1"/>
    <col min="12" max="12" width="7" style="2" bestFit="1" customWidth="1"/>
    <col min="13" max="13" width="12.88671875" style="2" bestFit="1" customWidth="1"/>
    <col min="14" max="15" width="9.109375" style="2"/>
    <col min="16" max="23" width="4.5546875" style="2" customWidth="1"/>
    <col min="24" max="16384" width="9.109375" style="2"/>
  </cols>
  <sheetData>
    <row r="2" spans="2:12" ht="15" x14ac:dyDescent="0.25">
      <c r="C2" s="63" t="s">
        <v>43</v>
      </c>
    </row>
    <row r="4" spans="2:12" x14ac:dyDescent="0.25">
      <c r="C4" s="64" t="s">
        <v>44</v>
      </c>
    </row>
    <row r="5" spans="2:12" x14ac:dyDescent="0.25">
      <c r="C5" s="65" t="s">
        <v>45</v>
      </c>
      <c r="D5" s="66">
        <v>25</v>
      </c>
    </row>
    <row r="6" spans="2:12" x14ac:dyDescent="0.25">
      <c r="C6" s="65" t="s">
        <v>46</v>
      </c>
      <c r="D6" s="66">
        <v>20</v>
      </c>
    </row>
    <row r="7" spans="2:12" x14ac:dyDescent="0.25">
      <c r="C7" s="65" t="s">
        <v>47</v>
      </c>
      <c r="D7" s="66">
        <v>5</v>
      </c>
    </row>
    <row r="8" spans="2:12" x14ac:dyDescent="0.25">
      <c r="C8" s="65" t="s">
        <v>48</v>
      </c>
      <c r="D8" s="67">
        <f>ridu/hinnaklasse*kohti_reas</f>
        <v>100</v>
      </c>
    </row>
    <row r="9" spans="2:12" x14ac:dyDescent="0.25">
      <c r="D9" s="68"/>
    </row>
    <row r="10" spans="2:12" x14ac:dyDescent="0.25">
      <c r="C10" s="117" t="s">
        <v>49</v>
      </c>
      <c r="D10" s="117"/>
      <c r="F10" s="118" t="s">
        <v>50</v>
      </c>
      <c r="G10" s="118"/>
      <c r="H10" s="118"/>
      <c r="I10" s="118"/>
      <c r="J10" s="118"/>
    </row>
    <row r="11" spans="2:12" x14ac:dyDescent="0.25">
      <c r="B11" s="64" t="s">
        <v>51</v>
      </c>
      <c r="C11" s="69" t="s">
        <v>52</v>
      </c>
      <c r="D11" s="69" t="s">
        <v>53</v>
      </c>
      <c r="E11" s="69" t="s">
        <v>54</v>
      </c>
      <c r="F11" s="1">
        <v>1</v>
      </c>
      <c r="G11" s="1">
        <v>2</v>
      </c>
      <c r="H11" s="1">
        <v>3</v>
      </c>
      <c r="I11" s="1">
        <v>4</v>
      </c>
      <c r="J11" s="1">
        <v>5</v>
      </c>
      <c r="L11" s="69" t="s">
        <v>16</v>
      </c>
    </row>
    <row r="12" spans="2:12" x14ac:dyDescent="0.25">
      <c r="C12" s="32" t="s">
        <v>55</v>
      </c>
      <c r="D12" s="32" t="s">
        <v>56</v>
      </c>
      <c r="E12" s="67" t="str">
        <f>_xlfn.XLOOKUP(D12,Hinnakiri!$B$12:$B$28,Hinnakiri!$C$12:$C$28)</f>
        <v>Muu zhanr</v>
      </c>
      <c r="F12" s="67" cm="1">
        <f t="array" ref="F12:J12">_xlfn.XLOOKUP(E12,Hinnakiri!$I$5:$I$9,Hinnakiri!$J$5:$N$9)</f>
        <v>160</v>
      </c>
      <c r="G12" s="67">
        <v>140</v>
      </c>
      <c r="H12" s="67">
        <v>120</v>
      </c>
      <c r="I12" s="67">
        <v>80</v>
      </c>
      <c r="J12" s="67">
        <v>60</v>
      </c>
      <c r="L12" s="67">
        <f>SUM(_xlfn.ANCHORARRAY(F12))</f>
        <v>560</v>
      </c>
    </row>
    <row r="13" spans="2:12" x14ac:dyDescent="0.25">
      <c r="C13" s="32" t="s">
        <v>57</v>
      </c>
      <c r="D13" s="32" t="s">
        <v>58</v>
      </c>
      <c r="E13" s="67" t="str">
        <f>_xlfn.XLOOKUP(D13,Hinnakiri!$B$12:$B$28,Hinnakiri!$C$12:$C$28)</f>
        <v>Operett</v>
      </c>
      <c r="F13" s="67" cm="1">
        <f t="array" ref="F13:J13">_xlfn.XLOOKUP(E13,Hinnakiri!$I$5:$I$9,Hinnakiri!$J$5:$N$9)</f>
        <v>180</v>
      </c>
      <c r="G13" s="67">
        <v>160</v>
      </c>
      <c r="H13" s="67">
        <v>120</v>
      </c>
      <c r="I13" s="67">
        <v>80</v>
      </c>
      <c r="J13" s="67">
        <v>60</v>
      </c>
      <c r="L13" s="67">
        <f t="shared" ref="L13:L18" si="0">SUM(_xlfn.ANCHORARRAY(F13))</f>
        <v>600</v>
      </c>
    </row>
    <row r="14" spans="2:12" x14ac:dyDescent="0.25">
      <c r="C14" s="32" t="s">
        <v>59</v>
      </c>
      <c r="D14" s="32" t="s">
        <v>60</v>
      </c>
      <c r="E14" s="67" t="str">
        <f>_xlfn.XLOOKUP(D14,Hinnakiri!$B$12:$B$28,Hinnakiri!$C$12:$C$28)</f>
        <v>Ballett</v>
      </c>
      <c r="F14" s="67" cm="1">
        <f t="array" ref="F14:J14">_xlfn.XLOOKUP(E14,Hinnakiri!$I$5:$I$9,Hinnakiri!$J$5:$N$9)</f>
        <v>250</v>
      </c>
      <c r="G14" s="67">
        <v>220</v>
      </c>
      <c r="H14" s="67">
        <v>180</v>
      </c>
      <c r="I14" s="67">
        <v>120</v>
      </c>
      <c r="J14" s="67">
        <v>100</v>
      </c>
      <c r="L14" s="67">
        <f t="shared" si="0"/>
        <v>870</v>
      </c>
    </row>
    <row r="15" spans="2:12" x14ac:dyDescent="0.25">
      <c r="C15" s="32" t="s">
        <v>61</v>
      </c>
      <c r="D15" s="32" t="s">
        <v>62</v>
      </c>
      <c r="E15" s="67" t="str">
        <f>_xlfn.XLOOKUP(D15,Hinnakiri!$B$12:$B$28,Hinnakiri!$C$12:$C$28)</f>
        <v>Ooper</v>
      </c>
      <c r="F15" s="67" cm="1">
        <f t="array" ref="F15:J15">_xlfn.XLOOKUP(E15,Hinnakiri!$I$5:$I$9,Hinnakiri!$J$5:$N$9)</f>
        <v>280</v>
      </c>
      <c r="G15" s="67">
        <v>250</v>
      </c>
      <c r="H15" s="67">
        <v>210</v>
      </c>
      <c r="I15" s="67">
        <v>140</v>
      </c>
      <c r="J15" s="67">
        <v>100</v>
      </c>
      <c r="L15" s="67">
        <f t="shared" si="0"/>
        <v>980</v>
      </c>
    </row>
    <row r="16" spans="2:12" x14ac:dyDescent="0.25">
      <c r="C16" s="32" t="s">
        <v>63</v>
      </c>
      <c r="D16" s="32" t="s">
        <v>64</v>
      </c>
      <c r="E16" s="67" t="str">
        <f>_xlfn.XLOOKUP(D16,Hinnakiri!$B$12:$B$28,Hinnakiri!$C$12:$C$28)</f>
        <v>Ballett</v>
      </c>
      <c r="F16" s="67" cm="1">
        <f t="array" ref="F16:J16">_xlfn.XLOOKUP(E16,Hinnakiri!$I$5:$I$9,Hinnakiri!$J$5:$N$9)</f>
        <v>250</v>
      </c>
      <c r="G16" s="67">
        <v>220</v>
      </c>
      <c r="H16" s="67">
        <v>180</v>
      </c>
      <c r="I16" s="67">
        <v>120</v>
      </c>
      <c r="J16" s="67">
        <v>100</v>
      </c>
      <c r="L16" s="67">
        <f t="shared" si="0"/>
        <v>870</v>
      </c>
    </row>
    <row r="17" spans="2:15" x14ac:dyDescent="0.25">
      <c r="C17" s="32" t="s">
        <v>65</v>
      </c>
      <c r="D17" s="32" t="s">
        <v>62</v>
      </c>
      <c r="E17" s="67" t="str">
        <f>_xlfn.XLOOKUP(D17,Hinnakiri!$B$12:$B$28,Hinnakiri!$C$12:$C$28)</f>
        <v>Ooper</v>
      </c>
      <c r="F17" s="67" cm="1">
        <f t="array" ref="F17:J17">_xlfn.XLOOKUP(E17,Hinnakiri!$I$5:$I$9,Hinnakiri!$J$5:$N$9)</f>
        <v>280</v>
      </c>
      <c r="G17" s="67">
        <v>250</v>
      </c>
      <c r="H17" s="67">
        <v>210</v>
      </c>
      <c r="I17" s="67">
        <v>140</v>
      </c>
      <c r="J17" s="67">
        <v>100</v>
      </c>
      <c r="L17" s="67">
        <f t="shared" si="0"/>
        <v>980</v>
      </c>
    </row>
    <row r="18" spans="2:15" x14ac:dyDescent="0.25">
      <c r="C18" s="32" t="s">
        <v>66</v>
      </c>
      <c r="D18" s="32" t="s">
        <v>67</v>
      </c>
      <c r="E18" s="67" t="str">
        <f>_xlfn.XLOOKUP(D18,Hinnakiri!$B$12:$B$28,Hinnakiri!$C$12:$C$28)</f>
        <v>Ooper</v>
      </c>
      <c r="F18" s="67" cm="1">
        <f t="array" ref="F18:J18">_xlfn.XLOOKUP(E18,Hinnakiri!$I$5:$I$9,Hinnakiri!$J$5:$N$9)</f>
        <v>280</v>
      </c>
      <c r="G18" s="67">
        <v>250</v>
      </c>
      <c r="H18" s="67">
        <v>210</v>
      </c>
      <c r="I18" s="67">
        <v>140</v>
      </c>
      <c r="J18" s="67">
        <v>100</v>
      </c>
      <c r="L18" s="67">
        <f t="shared" si="0"/>
        <v>980</v>
      </c>
    </row>
    <row r="20" spans="2:15" x14ac:dyDescent="0.25">
      <c r="E20" s="69" t="s">
        <v>68</v>
      </c>
      <c r="F20" s="67">
        <f>SUM(F12:F18)</f>
        <v>1680</v>
      </c>
      <c r="G20" s="67">
        <f t="shared" ref="G20:J20" si="1">SUM(G12:G18)</f>
        <v>1490</v>
      </c>
      <c r="H20" s="67">
        <f t="shared" si="1"/>
        <v>1230</v>
      </c>
      <c r="I20" s="67">
        <f t="shared" si="1"/>
        <v>820</v>
      </c>
      <c r="J20" s="67">
        <f t="shared" si="1"/>
        <v>620</v>
      </c>
      <c r="L20" s="67">
        <f>SUM(L12:L18)</f>
        <v>5840</v>
      </c>
    </row>
    <row r="21" spans="2:15" x14ac:dyDescent="0.25">
      <c r="C21" s="65" t="s">
        <v>69</v>
      </c>
      <c r="D21" s="70">
        <v>0.2</v>
      </c>
    </row>
    <row r="23" spans="2:15" x14ac:dyDescent="0.25">
      <c r="C23" s="65" t="s">
        <v>70</v>
      </c>
      <c r="D23" s="66" t="s">
        <v>61</v>
      </c>
      <c r="G23" s="64" t="s">
        <v>71</v>
      </c>
      <c r="N23" s="119"/>
      <c r="O23" s="119"/>
    </row>
    <row r="24" spans="2:15" x14ac:dyDescent="0.25">
      <c r="C24" s="71" t="s">
        <v>54</v>
      </c>
      <c r="D24" s="72" t="str">
        <f>_xlfn.XLOOKUP($D$23,Päevad,$E$12:$E$18)</f>
        <v>Ooper</v>
      </c>
      <c r="N24" s="73"/>
      <c r="O24" s="73"/>
    </row>
    <row r="25" spans="2:15" ht="39" customHeight="1" x14ac:dyDescent="0.3">
      <c r="B25" s="74" t="s">
        <v>72</v>
      </c>
      <c r="C25" s="75" t="s">
        <v>50</v>
      </c>
      <c r="D25" s="76" t="s">
        <v>73</v>
      </c>
      <c r="E25" s="75" t="s">
        <v>74</v>
      </c>
      <c r="F25" s="75" t="s">
        <v>51</v>
      </c>
      <c r="N25" s="77"/>
      <c r="O25" s="77"/>
    </row>
    <row r="26" spans="2:15" ht="14.4" x14ac:dyDescent="0.3">
      <c r="C26" s="32">
        <v>5</v>
      </c>
      <c r="D26" s="66">
        <v>95</v>
      </c>
      <c r="E26" s="67" cm="1">
        <f t="array" ref="E26">_xlfn.XLOOKUP($D$24,$E$12:$E$18,_xlfn.XLOOKUP(C26,$F$11:$J$11,$F$12:$J$18))*D26</f>
        <v>9500</v>
      </c>
      <c r="F26" s="67" cm="1">
        <f t="array" ref="F26">_xlfn.XLOOKUP($D$24,$E$12:$E$18,_xlfn.XLOOKUP(C26,$F$11:$J$11,$F$12:$J$18))*kohti_igas_klassis</f>
        <v>10000</v>
      </c>
      <c r="N26" s="77"/>
      <c r="O26" s="77"/>
    </row>
    <row r="27" spans="2:15" ht="14.4" x14ac:dyDescent="0.3">
      <c r="C27" s="32">
        <v>4</v>
      </c>
      <c r="D27" s="66">
        <v>97</v>
      </c>
      <c r="E27" s="67" cm="1">
        <f t="array" ref="E27">_xlfn.XLOOKUP($D$24,$E$12:$E$18,_xlfn.XLOOKUP(C27,$F$11:$J$11,$F$12:$J$18))*D27</f>
        <v>13580</v>
      </c>
      <c r="F27" s="67" cm="1">
        <f t="array" ref="F27">_xlfn.XLOOKUP($D$24,$E$12:$E$18,_xlfn.XLOOKUP(C27,$F$11:$J$11,$F$12:$J$18))*kohti_igas_klassis</f>
        <v>14000</v>
      </c>
      <c r="N27" s="77"/>
      <c r="O27" s="77"/>
    </row>
    <row r="28" spans="2:15" ht="14.4" x14ac:dyDescent="0.3">
      <c r="C28" s="32">
        <v>3</v>
      </c>
      <c r="D28" s="66">
        <v>80</v>
      </c>
      <c r="E28" s="67" cm="1">
        <f t="array" ref="E28">_xlfn.XLOOKUP($D$24,$E$12:$E$18,_xlfn.XLOOKUP(C28,$F$11:$J$11,$F$12:$J$18))*D28</f>
        <v>16800</v>
      </c>
      <c r="F28" s="67" cm="1">
        <f t="array" ref="F28">_xlfn.XLOOKUP($D$24,$E$12:$E$18,_xlfn.XLOOKUP(C28,$F$11:$J$11,$F$12:$J$18))*kohti_igas_klassis</f>
        <v>21000</v>
      </c>
      <c r="I28" s="119"/>
      <c r="J28" s="119"/>
      <c r="K28" s="119"/>
      <c r="L28" s="119"/>
      <c r="M28" s="119"/>
      <c r="N28" s="77"/>
      <c r="O28" s="77"/>
    </row>
    <row r="29" spans="2:15" ht="14.4" x14ac:dyDescent="0.3">
      <c r="C29" s="32">
        <v>2</v>
      </c>
      <c r="D29" s="66">
        <v>88</v>
      </c>
      <c r="E29" s="67" cm="1">
        <f t="array" ref="E29">_xlfn.XLOOKUP($D$24,$E$12:$E$18,_xlfn.XLOOKUP(C29,$F$11:$J$11,$F$12:$J$18))*D29</f>
        <v>22000</v>
      </c>
      <c r="F29" s="67" cm="1">
        <f t="array" ref="F29">_xlfn.XLOOKUP($D$24,$E$12:$E$18,_xlfn.XLOOKUP(C29,$F$11:$J$11,$F$12:$J$18))*kohti_igas_klassis</f>
        <v>25000</v>
      </c>
      <c r="I29" s="12"/>
      <c r="J29" s="12"/>
      <c r="K29" s="12"/>
      <c r="L29" s="12"/>
      <c r="M29" s="12"/>
      <c r="N29" s="77"/>
      <c r="O29" s="77"/>
    </row>
    <row r="30" spans="2:15" x14ac:dyDescent="0.25">
      <c r="C30" s="32">
        <v>1</v>
      </c>
      <c r="D30" s="66">
        <v>74</v>
      </c>
      <c r="E30" s="67" cm="1">
        <f t="array" ref="E30">_xlfn.XLOOKUP($D$24,$E$12:$E$18,_xlfn.XLOOKUP(C30,$F$11:$J$11,$F$12:$J$18))*D30</f>
        <v>20720</v>
      </c>
      <c r="F30" s="67" cm="1">
        <f t="array" ref="F30">_xlfn.XLOOKUP($D$24,$E$12:$E$18,_xlfn.XLOOKUP(C30,$F$11:$J$11,$F$12:$J$18))*kohti_igas_klassis</f>
        <v>28000</v>
      </c>
      <c r="I30" s="78"/>
      <c r="J30" s="78"/>
      <c r="K30" s="78"/>
      <c r="L30" s="78"/>
      <c r="M30" s="78"/>
    </row>
    <row r="31" spans="2:15" ht="14.25" customHeight="1" x14ac:dyDescent="0.25">
      <c r="I31" s="78"/>
      <c r="J31" s="78"/>
      <c r="K31" s="78"/>
      <c r="L31" s="78"/>
      <c r="M31" s="78"/>
    </row>
    <row r="32" spans="2:15" ht="28.5" customHeight="1" x14ac:dyDescent="0.25">
      <c r="D32" s="79" t="s">
        <v>75</v>
      </c>
      <c r="E32" s="80">
        <f>SUM(E26:E30)</f>
        <v>82600</v>
      </c>
      <c r="F32" s="67">
        <f>SUM(F26:F30)</f>
        <v>98000</v>
      </c>
      <c r="G32" s="120" t="s">
        <v>76</v>
      </c>
      <c r="H32" s="120"/>
      <c r="I32" s="78"/>
      <c r="J32" s="78"/>
      <c r="K32" s="78"/>
      <c r="L32" s="78"/>
      <c r="M32" s="78"/>
    </row>
    <row r="33" spans="2:13" x14ac:dyDescent="0.25">
      <c r="D33" s="81" t="s">
        <v>77</v>
      </c>
      <c r="E33" s="82" t="str">
        <f>IF(($F$32-$E$32)&gt;$F$32*$D$21,"liigsuur varieeruvus eelarvest, üle " &amp; $D$21&amp; " protsendi","Eelarvele piisavalt lähedal, korras")</f>
        <v>Eelarvele piisavalt lähedal, korras</v>
      </c>
      <c r="F33" s="83"/>
      <c r="G33" s="83"/>
      <c r="H33" s="80"/>
      <c r="I33" s="78"/>
      <c r="J33" s="78"/>
      <c r="K33" s="78"/>
      <c r="L33" s="78"/>
      <c r="M33" s="78"/>
    </row>
    <row r="37" spans="2:13" ht="13.8" x14ac:dyDescent="0.25">
      <c r="C37" s="84" t="s">
        <v>78</v>
      </c>
    </row>
    <row r="42" spans="2:13" x14ac:dyDescent="0.25">
      <c r="B42" s="85"/>
      <c r="C42" s="85"/>
    </row>
    <row r="43" spans="2:13" x14ac:dyDescent="0.25">
      <c r="C43" s="64"/>
    </row>
    <row r="45" spans="2:13" x14ac:dyDescent="0.25">
      <c r="C45" s="86"/>
    </row>
  </sheetData>
  <sortState xmlns:xlrd2="http://schemas.microsoft.com/office/spreadsheetml/2017/richdata2" ref="C26:F30">
    <sortCondition ref="F26:F30"/>
  </sortState>
  <mergeCells count="5">
    <mergeCell ref="C10:D10"/>
    <mergeCell ref="F10:J10"/>
    <mergeCell ref="N23:O23"/>
    <mergeCell ref="I28:M28"/>
    <mergeCell ref="G32:H32"/>
  </mergeCells>
  <dataValidations disablePrompts="1" count="1">
    <dataValidation type="list" allowBlank="1" showInputMessage="1" showErrorMessage="1" sqref="D23" xr:uid="{00000000-0002-0000-0B00-000000000000}">
      <formula1>Päevad</formula1>
    </dataValidation>
  </dataValidations>
  <pageMargins left="0.75" right="0.75" top="1" bottom="1" header="0.5" footer="0.5"/>
  <pageSetup paperSize="9"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5" tint="0.59999389629810485"/>
  </sheetPr>
  <dimension ref="B2:N30"/>
  <sheetViews>
    <sheetView workbookViewId="0">
      <selection activeCell="L22" sqref="L22"/>
    </sheetView>
  </sheetViews>
  <sheetFormatPr defaultColWidth="9.109375" defaultRowHeight="13.2" x14ac:dyDescent="0.25"/>
  <cols>
    <col min="1" max="1" width="9.109375" style="2"/>
    <col min="2" max="2" width="13.5546875" style="2" customWidth="1"/>
    <col min="3" max="3" width="10.33203125" style="2" bestFit="1" customWidth="1"/>
    <col min="4" max="7" width="9.109375" style="2"/>
    <col min="8" max="8" width="4.33203125" style="2" customWidth="1"/>
    <col min="9" max="9" width="12.44140625" style="2" customWidth="1"/>
    <col min="10" max="14" width="6.88671875" style="2" customWidth="1"/>
    <col min="15" max="16384" width="9.109375" style="2"/>
  </cols>
  <sheetData>
    <row r="2" spans="2:14" x14ac:dyDescent="0.25">
      <c r="B2" s="64" t="s">
        <v>79</v>
      </c>
    </row>
    <row r="3" spans="2:14" x14ac:dyDescent="0.25">
      <c r="C3" s="87"/>
      <c r="D3" s="88"/>
      <c r="E3" s="89"/>
      <c r="F3" s="87"/>
      <c r="G3" s="87"/>
      <c r="I3" s="64" t="s">
        <v>80</v>
      </c>
    </row>
    <row r="4" spans="2:14" x14ac:dyDescent="0.25">
      <c r="B4" s="64" t="s">
        <v>81</v>
      </c>
      <c r="I4" s="49"/>
      <c r="J4" s="49"/>
    </row>
    <row r="5" spans="2:14" x14ac:dyDescent="0.25">
      <c r="B5" s="69" t="s">
        <v>82</v>
      </c>
      <c r="C5" s="1">
        <v>1</v>
      </c>
      <c r="D5" s="1">
        <v>2</v>
      </c>
      <c r="E5" s="1">
        <v>3</v>
      </c>
      <c r="F5" s="1">
        <v>4</v>
      </c>
      <c r="G5" s="1">
        <v>5</v>
      </c>
      <c r="I5" s="69" t="s">
        <v>82</v>
      </c>
      <c r="J5" s="1">
        <v>1</v>
      </c>
      <c r="K5" s="1">
        <v>2</v>
      </c>
      <c r="L5" s="1">
        <v>3</v>
      </c>
      <c r="M5" s="1">
        <v>4</v>
      </c>
      <c r="N5" s="1">
        <v>5</v>
      </c>
    </row>
    <row r="6" spans="2:14" x14ac:dyDescent="0.25">
      <c r="B6" s="29" t="s">
        <v>83</v>
      </c>
      <c r="C6" s="66">
        <f t="shared" ref="C6:G9" si="0">J6*kohti_igas_klassis</f>
        <v>28000</v>
      </c>
      <c r="D6" s="66">
        <f t="shared" si="0"/>
        <v>25000</v>
      </c>
      <c r="E6" s="66">
        <f t="shared" si="0"/>
        <v>21000</v>
      </c>
      <c r="F6" s="66">
        <f t="shared" si="0"/>
        <v>14000</v>
      </c>
      <c r="G6" s="66">
        <f t="shared" si="0"/>
        <v>10000</v>
      </c>
      <c r="I6" s="29" t="s">
        <v>83</v>
      </c>
      <c r="J6" s="90">
        <v>280</v>
      </c>
      <c r="K6" s="90">
        <v>250</v>
      </c>
      <c r="L6" s="90">
        <v>210</v>
      </c>
      <c r="M6" s="90">
        <v>140</v>
      </c>
      <c r="N6" s="90">
        <v>100</v>
      </c>
    </row>
    <row r="7" spans="2:14" x14ac:dyDescent="0.25">
      <c r="B7" s="32" t="s">
        <v>84</v>
      </c>
      <c r="C7" s="66">
        <f t="shared" si="0"/>
        <v>25000</v>
      </c>
      <c r="D7" s="66">
        <f t="shared" si="0"/>
        <v>22000</v>
      </c>
      <c r="E7" s="66">
        <f t="shared" si="0"/>
        <v>18000</v>
      </c>
      <c r="F7" s="66">
        <f t="shared" si="0"/>
        <v>12000</v>
      </c>
      <c r="G7" s="66">
        <f t="shared" si="0"/>
        <v>10000</v>
      </c>
      <c r="I7" s="32" t="s">
        <v>84</v>
      </c>
      <c r="J7" s="90">
        <v>250</v>
      </c>
      <c r="K7" s="90">
        <v>220</v>
      </c>
      <c r="L7" s="90">
        <v>180</v>
      </c>
      <c r="M7" s="90">
        <v>120</v>
      </c>
      <c r="N7" s="90">
        <v>100</v>
      </c>
    </row>
    <row r="8" spans="2:14" x14ac:dyDescent="0.25">
      <c r="B8" s="32" t="s">
        <v>85</v>
      </c>
      <c r="C8" s="66">
        <f t="shared" si="0"/>
        <v>18000</v>
      </c>
      <c r="D8" s="66">
        <f t="shared" si="0"/>
        <v>16000</v>
      </c>
      <c r="E8" s="66">
        <f t="shared" si="0"/>
        <v>12000</v>
      </c>
      <c r="F8" s="66">
        <f t="shared" si="0"/>
        <v>8000</v>
      </c>
      <c r="G8" s="66">
        <f t="shared" si="0"/>
        <v>6000</v>
      </c>
      <c r="I8" s="32" t="s">
        <v>85</v>
      </c>
      <c r="J8" s="90">
        <v>180</v>
      </c>
      <c r="K8" s="90">
        <v>160</v>
      </c>
      <c r="L8" s="90">
        <v>120</v>
      </c>
      <c r="M8" s="90">
        <v>80</v>
      </c>
      <c r="N8" s="90">
        <v>60</v>
      </c>
    </row>
    <row r="9" spans="2:14" x14ac:dyDescent="0.25">
      <c r="B9" s="32" t="s">
        <v>86</v>
      </c>
      <c r="C9" s="66">
        <f t="shared" si="0"/>
        <v>16000</v>
      </c>
      <c r="D9" s="66">
        <f t="shared" si="0"/>
        <v>14000</v>
      </c>
      <c r="E9" s="66">
        <f t="shared" si="0"/>
        <v>12000</v>
      </c>
      <c r="F9" s="66">
        <f t="shared" si="0"/>
        <v>8000</v>
      </c>
      <c r="G9" s="66">
        <f t="shared" si="0"/>
        <v>6000</v>
      </c>
      <c r="I9" s="32" t="s">
        <v>86</v>
      </c>
      <c r="J9" s="90">
        <v>160</v>
      </c>
      <c r="K9" s="90">
        <v>140</v>
      </c>
      <c r="L9" s="90">
        <v>120</v>
      </c>
      <c r="M9" s="90">
        <v>80</v>
      </c>
      <c r="N9" s="90">
        <v>60</v>
      </c>
    </row>
    <row r="10" spans="2:14" x14ac:dyDescent="0.25">
      <c r="I10" s="49"/>
      <c r="J10" s="49"/>
    </row>
    <row r="11" spans="2:14" x14ac:dyDescent="0.25">
      <c r="I11" s="49"/>
      <c r="J11" s="49"/>
    </row>
    <row r="12" spans="2:14" x14ac:dyDescent="0.25">
      <c r="B12" s="69" t="s">
        <v>53</v>
      </c>
      <c r="C12" s="69" t="s">
        <v>54</v>
      </c>
      <c r="I12" s="49"/>
      <c r="J12" s="49"/>
    </row>
    <row r="13" spans="2:14" x14ac:dyDescent="0.25">
      <c r="B13" s="32" t="s">
        <v>87</v>
      </c>
      <c r="C13" s="32" t="s">
        <v>83</v>
      </c>
      <c r="I13" s="49"/>
      <c r="J13" s="49"/>
    </row>
    <row r="14" spans="2:14" x14ac:dyDescent="0.25">
      <c r="B14" s="32" t="s">
        <v>62</v>
      </c>
      <c r="C14" s="32" t="s">
        <v>83</v>
      </c>
      <c r="I14" s="49"/>
      <c r="J14" s="49"/>
    </row>
    <row r="15" spans="2:14" x14ac:dyDescent="0.25">
      <c r="B15" s="32" t="s">
        <v>88</v>
      </c>
      <c r="C15" s="32" t="s">
        <v>83</v>
      </c>
      <c r="I15" s="49"/>
      <c r="J15" s="49"/>
    </row>
    <row r="16" spans="2:14" x14ac:dyDescent="0.25">
      <c r="B16" s="32" t="s">
        <v>89</v>
      </c>
      <c r="C16" s="32" t="s">
        <v>83</v>
      </c>
    </row>
    <row r="17" spans="2:9" x14ac:dyDescent="0.25">
      <c r="B17" s="32" t="s">
        <v>90</v>
      </c>
      <c r="C17" s="32" t="s">
        <v>83</v>
      </c>
    </row>
    <row r="18" spans="2:9" x14ac:dyDescent="0.25">
      <c r="B18" s="32" t="s">
        <v>67</v>
      </c>
      <c r="C18" s="32" t="s">
        <v>83</v>
      </c>
    </row>
    <row r="19" spans="2:9" x14ac:dyDescent="0.25">
      <c r="B19" s="32" t="s">
        <v>91</v>
      </c>
      <c r="C19" s="32" t="s">
        <v>85</v>
      </c>
    </row>
    <row r="20" spans="2:9" x14ac:dyDescent="0.25">
      <c r="B20" s="32" t="s">
        <v>58</v>
      </c>
      <c r="C20" s="32" t="s">
        <v>85</v>
      </c>
    </row>
    <row r="21" spans="2:9" x14ac:dyDescent="0.25">
      <c r="B21" s="32" t="s">
        <v>60</v>
      </c>
      <c r="C21" s="32" t="s">
        <v>84</v>
      </c>
    </row>
    <row r="22" spans="2:9" x14ac:dyDescent="0.25">
      <c r="B22" s="32" t="s">
        <v>64</v>
      </c>
      <c r="C22" s="32" t="s">
        <v>84</v>
      </c>
    </row>
    <row r="23" spans="2:9" x14ac:dyDescent="0.25">
      <c r="B23" s="32" t="s">
        <v>92</v>
      </c>
      <c r="C23" s="32" t="s">
        <v>84</v>
      </c>
    </row>
    <row r="24" spans="2:9" x14ac:dyDescent="0.25">
      <c r="B24" s="32" t="s">
        <v>93</v>
      </c>
      <c r="C24" s="32" t="s">
        <v>84</v>
      </c>
    </row>
    <row r="25" spans="2:9" x14ac:dyDescent="0.25">
      <c r="B25" s="32" t="s">
        <v>94</v>
      </c>
      <c r="C25" s="32" t="s">
        <v>84</v>
      </c>
      <c r="I25" s="91"/>
    </row>
    <row r="26" spans="2:9" x14ac:dyDescent="0.25">
      <c r="B26" s="32" t="s">
        <v>56</v>
      </c>
      <c r="C26" s="32" t="s">
        <v>86</v>
      </c>
      <c r="F26" s="91"/>
      <c r="G26" s="91"/>
      <c r="H26" s="91"/>
      <c r="I26" s="91"/>
    </row>
    <row r="27" spans="2:9" x14ac:dyDescent="0.25">
      <c r="B27" s="32" t="s">
        <v>95</v>
      </c>
      <c r="C27" s="32" t="s">
        <v>86</v>
      </c>
      <c r="F27" s="91"/>
      <c r="G27" s="91"/>
      <c r="H27" s="91"/>
      <c r="I27" s="91"/>
    </row>
    <row r="28" spans="2:9" x14ac:dyDescent="0.25">
      <c r="B28" s="32" t="s">
        <v>96</v>
      </c>
      <c r="C28" s="32" t="s">
        <v>86</v>
      </c>
      <c r="F28" s="91"/>
      <c r="G28" s="91"/>
      <c r="H28" s="91"/>
      <c r="I28" s="91"/>
    </row>
    <row r="29" spans="2:9" x14ac:dyDescent="0.25">
      <c r="F29" s="91"/>
      <c r="G29" s="91"/>
      <c r="H29" s="91"/>
      <c r="I29" s="91"/>
    </row>
    <row r="30" spans="2:9" x14ac:dyDescent="0.25">
      <c r="F30" s="91"/>
      <c r="G30" s="91"/>
      <c r="H30" s="91"/>
      <c r="I30" s="91"/>
    </row>
  </sheetData>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0000"/>
  </sheetPr>
  <dimension ref="K3:K7"/>
  <sheetViews>
    <sheetView workbookViewId="0">
      <selection activeCell="P12" sqref="P12"/>
    </sheetView>
  </sheetViews>
  <sheetFormatPr defaultRowHeight="14.4" x14ac:dyDescent="0.3"/>
  <cols>
    <col min="2" max="2" width="10.109375" customWidth="1"/>
  </cols>
  <sheetData>
    <row r="3" spans="11:11" x14ac:dyDescent="0.3">
      <c r="K3" t="s">
        <v>104</v>
      </c>
    </row>
    <row r="4" spans="11:11" x14ac:dyDescent="0.3">
      <c r="K4" t="s">
        <v>105</v>
      </c>
    </row>
    <row r="5" spans="11:11" x14ac:dyDescent="0.3">
      <c r="K5" t="s">
        <v>30</v>
      </c>
    </row>
    <row r="6" spans="11:11" x14ac:dyDescent="0.3">
      <c r="K6" t="s">
        <v>106</v>
      </c>
    </row>
    <row r="7" spans="11:11" x14ac:dyDescent="0.3">
      <c r="K7" t="s">
        <v>107</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0000"/>
  </sheetPr>
  <dimension ref="B2:G120"/>
  <sheetViews>
    <sheetView workbookViewId="0">
      <selection activeCell="U39" sqref="U39"/>
    </sheetView>
  </sheetViews>
  <sheetFormatPr defaultColWidth="9.109375" defaultRowHeight="15" x14ac:dyDescent="0.25"/>
  <cols>
    <col min="1" max="1" width="3.88671875" style="98" customWidth="1"/>
    <col min="2" max="2" width="11.109375" style="98" customWidth="1"/>
    <col min="3" max="3" width="44.109375" style="98" bestFit="1" customWidth="1"/>
    <col min="4" max="4" width="20.5546875" style="98" customWidth="1"/>
    <col min="5" max="16384" width="9.109375" style="98"/>
  </cols>
  <sheetData>
    <row r="2" spans="2:7" ht="17.399999999999999" x14ac:dyDescent="0.3">
      <c r="B2" s="97" t="s">
        <v>108</v>
      </c>
    </row>
    <row r="4" spans="2:7" ht="40.5" customHeight="1" thickBot="1" x14ac:dyDescent="0.35">
      <c r="B4" s="99" t="s">
        <v>109</v>
      </c>
      <c r="C4" s="99" t="s">
        <v>110</v>
      </c>
      <c r="D4" s="100" t="s">
        <v>111</v>
      </c>
      <c r="F4" s="101"/>
      <c r="G4" s="101"/>
    </row>
    <row r="5" spans="2:7" x14ac:dyDescent="0.25">
      <c r="B5" s="98">
        <v>212042</v>
      </c>
      <c r="C5" s="98" t="s">
        <v>112</v>
      </c>
      <c r="D5" s="102">
        <v>1.79</v>
      </c>
    </row>
    <row r="6" spans="2:7" x14ac:dyDescent="0.25">
      <c r="B6" s="98">
        <v>212012</v>
      </c>
      <c r="C6" s="98" t="s">
        <v>113</v>
      </c>
      <c r="D6" s="102">
        <v>1.78</v>
      </c>
    </row>
    <row r="7" spans="2:7" x14ac:dyDescent="0.25">
      <c r="B7" s="98">
        <v>212013</v>
      </c>
      <c r="C7" s="98" t="s">
        <v>114</v>
      </c>
      <c r="D7" s="102">
        <v>1.83</v>
      </c>
    </row>
    <row r="8" spans="2:7" x14ac:dyDescent="0.25">
      <c r="B8" s="98">
        <v>212014</v>
      </c>
      <c r="C8" s="98" t="s">
        <v>115</v>
      </c>
      <c r="D8" s="102">
        <v>1.83</v>
      </c>
    </row>
    <row r="9" spans="2:7" x14ac:dyDescent="0.25">
      <c r="B9" s="98">
        <v>212017</v>
      </c>
      <c r="C9" s="98" t="s">
        <v>116</v>
      </c>
      <c r="D9" s="102">
        <v>1.8</v>
      </c>
    </row>
    <row r="10" spans="2:7" x14ac:dyDescent="0.25">
      <c r="B10" s="98">
        <v>208014</v>
      </c>
      <c r="C10" s="98" t="s">
        <v>117</v>
      </c>
      <c r="D10" s="102">
        <v>1.34</v>
      </c>
    </row>
    <row r="11" spans="2:7" x14ac:dyDescent="0.25">
      <c r="B11" s="98">
        <v>214103</v>
      </c>
      <c r="C11" s="98" t="s">
        <v>118</v>
      </c>
      <c r="D11" s="102">
        <v>2.69</v>
      </c>
    </row>
    <row r="12" spans="2:7" x14ac:dyDescent="0.25">
      <c r="B12" s="98">
        <v>214104</v>
      </c>
      <c r="C12" s="98" t="s">
        <v>119</v>
      </c>
      <c r="D12" s="102">
        <v>2.69</v>
      </c>
    </row>
    <row r="13" spans="2:7" x14ac:dyDescent="0.25">
      <c r="B13" s="98">
        <v>214105</v>
      </c>
      <c r="C13" s="98" t="s">
        <v>120</v>
      </c>
      <c r="D13" s="102">
        <v>2.69</v>
      </c>
    </row>
    <row r="14" spans="2:7" x14ac:dyDescent="0.25">
      <c r="B14" s="98">
        <v>208041</v>
      </c>
      <c r="C14" s="98" t="s">
        <v>121</v>
      </c>
      <c r="D14" s="102">
        <v>1.25</v>
      </c>
    </row>
    <row r="15" spans="2:7" x14ac:dyDescent="0.25">
      <c r="B15" s="98">
        <v>308050</v>
      </c>
      <c r="C15" s="98" t="s">
        <v>122</v>
      </c>
      <c r="D15" s="102">
        <v>3.32</v>
      </c>
    </row>
    <row r="16" spans="2:7" x14ac:dyDescent="0.25">
      <c r="B16" s="98">
        <v>308010</v>
      </c>
      <c r="C16" s="98" t="s">
        <v>123</v>
      </c>
      <c r="D16" s="102">
        <v>1.72</v>
      </c>
    </row>
    <row r="17" spans="2:4" x14ac:dyDescent="0.25">
      <c r="B17" s="98">
        <v>308030</v>
      </c>
      <c r="C17" s="98" t="s">
        <v>124</v>
      </c>
      <c r="D17" s="102">
        <v>3.14</v>
      </c>
    </row>
    <row r="18" spans="2:4" x14ac:dyDescent="0.25">
      <c r="B18" s="98">
        <v>308028</v>
      </c>
      <c r="C18" s="98" t="s">
        <v>125</v>
      </c>
      <c r="D18" s="102">
        <v>1.84</v>
      </c>
    </row>
    <row r="19" spans="2:4" x14ac:dyDescent="0.25">
      <c r="B19" s="98">
        <v>308013</v>
      </c>
      <c r="C19" s="98" t="s">
        <v>126</v>
      </c>
      <c r="D19" s="102">
        <v>2.86</v>
      </c>
    </row>
    <row r="20" spans="2:4" x14ac:dyDescent="0.25">
      <c r="B20" s="98">
        <v>308059</v>
      </c>
      <c r="C20" s="98" t="s">
        <v>127</v>
      </c>
      <c r="D20" s="102">
        <v>0.69</v>
      </c>
    </row>
    <row r="21" spans="2:4" x14ac:dyDescent="0.25">
      <c r="B21" s="98">
        <v>308029</v>
      </c>
      <c r="C21" s="98" t="s">
        <v>128</v>
      </c>
      <c r="D21" s="102">
        <v>1.29</v>
      </c>
    </row>
    <row r="22" spans="2:4" x14ac:dyDescent="0.25">
      <c r="B22" s="98">
        <v>308021</v>
      </c>
      <c r="C22" s="98" t="s">
        <v>129</v>
      </c>
      <c r="D22" s="102">
        <v>1.68</v>
      </c>
    </row>
    <row r="23" spans="2:4" x14ac:dyDescent="0.25">
      <c r="B23" s="98">
        <v>306001</v>
      </c>
      <c r="C23" s="98" t="s">
        <v>130</v>
      </c>
      <c r="D23" s="102">
        <v>0.88</v>
      </c>
    </row>
    <row r="24" spans="2:4" x14ac:dyDescent="0.25">
      <c r="B24" s="98">
        <v>305119</v>
      </c>
      <c r="C24" s="98" t="s">
        <v>131</v>
      </c>
      <c r="D24" s="102">
        <v>0.99</v>
      </c>
    </row>
    <row r="25" spans="2:4" x14ac:dyDescent="0.25">
      <c r="B25" s="98">
        <v>305189</v>
      </c>
      <c r="C25" s="98" t="s">
        <v>132</v>
      </c>
      <c r="D25" s="102">
        <v>0.99</v>
      </c>
    </row>
    <row r="26" spans="2:4" x14ac:dyDescent="0.25">
      <c r="B26" s="98">
        <v>305190</v>
      </c>
      <c r="C26" s="98" t="s">
        <v>133</v>
      </c>
      <c r="D26" s="102">
        <v>0.99</v>
      </c>
    </row>
    <row r="27" spans="2:4" x14ac:dyDescent="0.25">
      <c r="B27" s="98">
        <v>305114</v>
      </c>
      <c r="C27" s="98" t="s">
        <v>134</v>
      </c>
      <c r="D27" s="102">
        <v>0.99</v>
      </c>
    </row>
    <row r="28" spans="2:4" x14ac:dyDescent="0.25">
      <c r="B28" s="98">
        <v>305117</v>
      </c>
      <c r="C28" s="98" t="s">
        <v>135</v>
      </c>
      <c r="D28" s="102">
        <v>0.99</v>
      </c>
    </row>
    <row r="29" spans="2:4" x14ac:dyDescent="0.25">
      <c r="B29" s="98">
        <v>306000</v>
      </c>
      <c r="C29" s="98" t="s">
        <v>136</v>
      </c>
      <c r="D29" s="102">
        <v>1.1000000000000001</v>
      </c>
    </row>
    <row r="30" spans="2:4" x14ac:dyDescent="0.25">
      <c r="B30" s="98">
        <v>305075</v>
      </c>
      <c r="C30" s="98" t="s">
        <v>137</v>
      </c>
      <c r="D30" s="102">
        <v>0.83</v>
      </c>
    </row>
    <row r="31" spans="2:4" x14ac:dyDescent="0.25">
      <c r="B31" s="98">
        <v>305054</v>
      </c>
      <c r="C31" s="98" t="s">
        <v>138</v>
      </c>
      <c r="D31" s="102">
        <v>0.83</v>
      </c>
    </row>
    <row r="32" spans="2:4" x14ac:dyDescent="0.25">
      <c r="B32" s="98">
        <v>305076</v>
      </c>
      <c r="C32" s="98" t="s">
        <v>139</v>
      </c>
      <c r="D32" s="102">
        <v>0.83</v>
      </c>
    </row>
    <row r="33" spans="2:4" x14ac:dyDescent="0.25">
      <c r="B33" s="98">
        <v>215004</v>
      </c>
      <c r="C33" s="98" t="s">
        <v>140</v>
      </c>
      <c r="D33" s="102">
        <v>2.58</v>
      </c>
    </row>
    <row r="34" spans="2:4" x14ac:dyDescent="0.25">
      <c r="B34" s="98">
        <v>215000</v>
      </c>
      <c r="C34" s="98" t="s">
        <v>141</v>
      </c>
      <c r="D34" s="102">
        <v>1.42</v>
      </c>
    </row>
    <row r="35" spans="2:4" x14ac:dyDescent="0.25">
      <c r="B35" s="98">
        <v>215002</v>
      </c>
      <c r="C35" s="98" t="s">
        <v>142</v>
      </c>
      <c r="D35" s="102">
        <v>2.27</v>
      </c>
    </row>
    <row r="36" spans="2:4" x14ac:dyDescent="0.25">
      <c r="B36" s="98">
        <v>215008</v>
      </c>
      <c r="C36" s="98" t="s">
        <v>143</v>
      </c>
      <c r="D36" s="102">
        <v>2.27</v>
      </c>
    </row>
    <row r="37" spans="2:4" x14ac:dyDescent="0.25">
      <c r="B37" s="98">
        <v>215020</v>
      </c>
      <c r="C37" s="98" t="s">
        <v>144</v>
      </c>
      <c r="D37" s="102">
        <v>2.91</v>
      </c>
    </row>
    <row r="38" spans="2:4" x14ac:dyDescent="0.25">
      <c r="B38" s="98">
        <v>215017</v>
      </c>
      <c r="C38" s="98" t="s">
        <v>145</v>
      </c>
      <c r="D38" s="102">
        <v>2.91</v>
      </c>
    </row>
    <row r="39" spans="2:4" x14ac:dyDescent="0.25">
      <c r="B39" s="98">
        <v>208016</v>
      </c>
      <c r="C39" s="98" t="s">
        <v>146</v>
      </c>
      <c r="D39" s="102">
        <v>0.92</v>
      </c>
    </row>
    <row r="40" spans="2:4" x14ac:dyDescent="0.25">
      <c r="B40" s="98">
        <v>208021</v>
      </c>
      <c r="C40" s="98" t="s">
        <v>147</v>
      </c>
      <c r="D40" s="102">
        <v>0.89</v>
      </c>
    </row>
    <row r="41" spans="2:4" x14ac:dyDescent="0.25">
      <c r="B41" s="98">
        <v>208022</v>
      </c>
      <c r="C41" s="98" t="s">
        <v>148</v>
      </c>
      <c r="D41" s="102">
        <v>1.61</v>
      </c>
    </row>
    <row r="42" spans="2:4" x14ac:dyDescent="0.25">
      <c r="B42" s="98">
        <v>107012</v>
      </c>
      <c r="C42" s="98" t="s">
        <v>149</v>
      </c>
      <c r="D42" s="102">
        <v>0.72</v>
      </c>
    </row>
    <row r="43" spans="2:4" x14ac:dyDescent="0.25">
      <c r="B43" s="98">
        <v>107006</v>
      </c>
      <c r="C43" s="98" t="s">
        <v>150</v>
      </c>
      <c r="D43" s="102">
        <v>0.72</v>
      </c>
    </row>
    <row r="44" spans="2:4" x14ac:dyDescent="0.25">
      <c r="B44" s="98">
        <v>107007</v>
      </c>
      <c r="C44" s="98" t="s">
        <v>151</v>
      </c>
      <c r="D44" s="102">
        <v>0.72</v>
      </c>
    </row>
    <row r="45" spans="2:4" x14ac:dyDescent="0.25">
      <c r="B45" s="98">
        <v>309011</v>
      </c>
      <c r="C45" s="98" t="s">
        <v>152</v>
      </c>
      <c r="D45" s="102">
        <v>1.45</v>
      </c>
    </row>
    <row r="46" spans="2:4" x14ac:dyDescent="0.25">
      <c r="B46" s="98">
        <v>309010</v>
      </c>
      <c r="C46" s="98" t="s">
        <v>153</v>
      </c>
      <c r="D46" s="102">
        <v>6.48</v>
      </c>
    </row>
    <row r="47" spans="2:4" x14ac:dyDescent="0.25">
      <c r="B47" s="98">
        <v>208030</v>
      </c>
      <c r="C47" s="98" t="s">
        <v>154</v>
      </c>
      <c r="D47" s="102">
        <v>3.39</v>
      </c>
    </row>
    <row r="48" spans="2:4" x14ac:dyDescent="0.25">
      <c r="B48" s="98">
        <v>214007</v>
      </c>
      <c r="C48" s="98" t="s">
        <v>155</v>
      </c>
      <c r="D48" s="102">
        <v>1.62</v>
      </c>
    </row>
    <row r="49" spans="2:4" x14ac:dyDescent="0.25">
      <c r="B49" s="98">
        <v>214008</v>
      </c>
      <c r="C49" s="98" t="s">
        <v>156</v>
      </c>
      <c r="D49" s="102">
        <v>1.84</v>
      </c>
    </row>
    <row r="50" spans="2:4" x14ac:dyDescent="0.25">
      <c r="B50" s="98">
        <v>214000</v>
      </c>
      <c r="C50" s="98" t="s">
        <v>157</v>
      </c>
      <c r="D50" s="102">
        <v>1.63</v>
      </c>
    </row>
    <row r="51" spans="2:4" x14ac:dyDescent="0.25">
      <c r="B51" s="98">
        <v>214009</v>
      </c>
      <c r="C51" s="98" t="s">
        <v>158</v>
      </c>
      <c r="D51" s="102">
        <v>1.66</v>
      </c>
    </row>
    <row r="52" spans="2:4" x14ac:dyDescent="0.25">
      <c r="B52" s="98">
        <v>101090</v>
      </c>
      <c r="C52" s="98" t="s">
        <v>159</v>
      </c>
      <c r="D52" s="102">
        <v>0.96</v>
      </c>
    </row>
    <row r="53" spans="2:4" x14ac:dyDescent="0.25">
      <c r="B53" s="98">
        <v>101180</v>
      </c>
      <c r="C53" s="98" t="s">
        <v>160</v>
      </c>
      <c r="D53" s="102">
        <v>2.11</v>
      </c>
    </row>
    <row r="54" spans="2:4" x14ac:dyDescent="0.25">
      <c r="B54" s="98">
        <v>101181</v>
      </c>
      <c r="C54" s="98" t="s">
        <v>161</v>
      </c>
      <c r="D54" s="102">
        <v>2.46</v>
      </c>
    </row>
    <row r="55" spans="2:4" x14ac:dyDescent="0.25">
      <c r="B55" s="98">
        <v>101094</v>
      </c>
      <c r="C55" s="98" t="s">
        <v>162</v>
      </c>
      <c r="D55" s="102">
        <v>1.08</v>
      </c>
    </row>
    <row r="56" spans="2:4" x14ac:dyDescent="0.25">
      <c r="B56" s="98">
        <v>101100</v>
      </c>
      <c r="C56" s="98" t="s">
        <v>163</v>
      </c>
      <c r="D56" s="102">
        <v>2.54</v>
      </c>
    </row>
    <row r="57" spans="2:4" x14ac:dyDescent="0.25">
      <c r="B57" s="98">
        <v>209028</v>
      </c>
      <c r="C57" s="98" t="s">
        <v>164</v>
      </c>
      <c r="D57" s="102">
        <v>2.61</v>
      </c>
    </row>
    <row r="58" spans="2:4" x14ac:dyDescent="0.25">
      <c r="B58" s="98">
        <v>209037</v>
      </c>
      <c r="C58" s="98" t="s">
        <v>165</v>
      </c>
      <c r="D58" s="102">
        <v>2.2000000000000002</v>
      </c>
    </row>
    <row r="59" spans="2:4" x14ac:dyDescent="0.25">
      <c r="B59" s="98">
        <v>311016</v>
      </c>
      <c r="C59" s="98" t="s">
        <v>166</v>
      </c>
      <c r="D59" s="102">
        <v>1.19</v>
      </c>
    </row>
    <row r="60" spans="2:4" x14ac:dyDescent="0.25">
      <c r="B60" s="98">
        <v>311018</v>
      </c>
      <c r="C60" s="98" t="s">
        <v>167</v>
      </c>
      <c r="D60" s="102">
        <v>1.19</v>
      </c>
    </row>
    <row r="61" spans="2:4" x14ac:dyDescent="0.25">
      <c r="B61" s="98">
        <v>311017</v>
      </c>
      <c r="C61" s="98" t="s">
        <v>168</v>
      </c>
      <c r="D61" s="102">
        <v>1.19</v>
      </c>
    </row>
    <row r="62" spans="2:4" x14ac:dyDescent="0.25">
      <c r="B62" s="98">
        <v>306028</v>
      </c>
      <c r="C62" s="98" t="s">
        <v>169</v>
      </c>
      <c r="D62" s="102">
        <v>1.53</v>
      </c>
    </row>
    <row r="63" spans="2:4" x14ac:dyDescent="0.25">
      <c r="B63" s="98">
        <v>222021</v>
      </c>
      <c r="C63" s="98" t="s">
        <v>170</v>
      </c>
      <c r="D63" s="102">
        <v>1.87</v>
      </c>
    </row>
    <row r="64" spans="2:4" x14ac:dyDescent="0.25">
      <c r="B64" s="98">
        <v>230023</v>
      </c>
      <c r="C64" s="98" t="s">
        <v>171</v>
      </c>
      <c r="D64" s="102">
        <v>1.85</v>
      </c>
    </row>
    <row r="65" spans="2:4" x14ac:dyDescent="0.25">
      <c r="B65" s="98">
        <v>230024</v>
      </c>
      <c r="C65" s="98" t="s">
        <v>172</v>
      </c>
      <c r="D65" s="102">
        <v>1.85</v>
      </c>
    </row>
    <row r="66" spans="2:4" x14ac:dyDescent="0.25">
      <c r="B66" s="98">
        <v>230026</v>
      </c>
      <c r="C66" s="98" t="s">
        <v>173</v>
      </c>
      <c r="D66" s="102">
        <v>2.37</v>
      </c>
    </row>
    <row r="67" spans="2:4" x14ac:dyDescent="0.25">
      <c r="B67" s="98">
        <v>230025</v>
      </c>
      <c r="C67" s="98" t="s">
        <v>174</v>
      </c>
      <c r="D67" s="102">
        <v>2.37</v>
      </c>
    </row>
    <row r="68" spans="2:4" x14ac:dyDescent="0.25">
      <c r="B68" s="98">
        <v>308042</v>
      </c>
      <c r="C68" s="98" t="s">
        <v>175</v>
      </c>
      <c r="D68" s="102">
        <v>1.41</v>
      </c>
    </row>
    <row r="69" spans="2:4" x14ac:dyDescent="0.25">
      <c r="B69" s="98">
        <v>301126</v>
      </c>
      <c r="C69" s="98" t="s">
        <v>176</v>
      </c>
      <c r="D69" s="102">
        <v>1.59</v>
      </c>
    </row>
    <row r="70" spans="2:4" x14ac:dyDescent="0.25">
      <c r="B70" s="98">
        <v>306012</v>
      </c>
      <c r="C70" s="98" t="s">
        <v>177</v>
      </c>
      <c r="D70" s="102">
        <v>1.59</v>
      </c>
    </row>
    <row r="71" spans="2:4" x14ac:dyDescent="0.25">
      <c r="B71" s="98">
        <v>306013</v>
      </c>
      <c r="C71" s="98" t="s">
        <v>178</v>
      </c>
      <c r="D71" s="102">
        <v>2.4</v>
      </c>
    </row>
    <row r="72" spans="2:4" x14ac:dyDescent="0.25">
      <c r="B72" s="98">
        <v>301139</v>
      </c>
      <c r="C72" s="98" t="s">
        <v>179</v>
      </c>
      <c r="D72" s="102">
        <v>1.59</v>
      </c>
    </row>
    <row r="73" spans="2:4" x14ac:dyDescent="0.25">
      <c r="B73" s="98">
        <v>209039</v>
      </c>
      <c r="C73" s="98" t="s">
        <v>180</v>
      </c>
      <c r="D73" s="102">
        <v>2.0699999999999998</v>
      </c>
    </row>
    <row r="74" spans="2:4" x14ac:dyDescent="0.25">
      <c r="B74" s="98">
        <v>305081</v>
      </c>
      <c r="C74" s="98" t="s">
        <v>181</v>
      </c>
      <c r="D74" s="102">
        <v>1.3</v>
      </c>
    </row>
    <row r="75" spans="2:4" x14ac:dyDescent="0.25">
      <c r="B75" s="98">
        <v>305083</v>
      </c>
      <c r="C75" s="98" t="s">
        <v>182</v>
      </c>
      <c r="D75" s="102">
        <v>1.48</v>
      </c>
    </row>
    <row r="76" spans="2:4" x14ac:dyDescent="0.25">
      <c r="B76" s="98">
        <v>305079</v>
      </c>
      <c r="C76" s="98" t="s">
        <v>183</v>
      </c>
      <c r="D76" s="102">
        <v>1.3</v>
      </c>
    </row>
    <row r="77" spans="2:4" x14ac:dyDescent="0.25">
      <c r="B77" s="98">
        <v>305080</v>
      </c>
      <c r="C77" s="98" t="s">
        <v>184</v>
      </c>
      <c r="D77" s="102">
        <v>1.3</v>
      </c>
    </row>
    <row r="78" spans="2:4" x14ac:dyDescent="0.25">
      <c r="B78" s="98">
        <v>311022</v>
      </c>
      <c r="C78" s="98" t="s">
        <v>185</v>
      </c>
      <c r="D78" s="102">
        <v>0.96</v>
      </c>
    </row>
    <row r="79" spans="2:4" x14ac:dyDescent="0.25">
      <c r="B79" s="98">
        <v>208020</v>
      </c>
      <c r="C79" s="98" t="s">
        <v>186</v>
      </c>
      <c r="D79" s="102">
        <v>1.79</v>
      </c>
    </row>
    <row r="80" spans="2:4" x14ac:dyDescent="0.25">
      <c r="B80" s="98">
        <v>209056</v>
      </c>
      <c r="C80" s="98" t="s">
        <v>187</v>
      </c>
      <c r="D80" s="102">
        <v>7.96</v>
      </c>
    </row>
    <row r="81" spans="2:4" x14ac:dyDescent="0.25">
      <c r="B81" s="98">
        <v>209012</v>
      </c>
      <c r="C81" s="98" t="s">
        <v>188</v>
      </c>
      <c r="D81" s="102">
        <v>3.35</v>
      </c>
    </row>
    <row r="82" spans="2:4" x14ac:dyDescent="0.25">
      <c r="B82" s="98">
        <v>209011</v>
      </c>
      <c r="C82" s="98" t="s">
        <v>189</v>
      </c>
      <c r="D82" s="102">
        <v>2.94</v>
      </c>
    </row>
    <row r="83" spans="2:4" x14ac:dyDescent="0.25">
      <c r="B83" s="98">
        <v>209013</v>
      </c>
      <c r="C83" s="98" t="s">
        <v>190</v>
      </c>
      <c r="D83" s="102">
        <v>2.94</v>
      </c>
    </row>
    <row r="84" spans="2:4" x14ac:dyDescent="0.25">
      <c r="B84" s="98">
        <v>209010</v>
      </c>
      <c r="C84" s="98" t="s">
        <v>191</v>
      </c>
      <c r="D84" s="102">
        <v>2.4</v>
      </c>
    </row>
    <row r="85" spans="2:4" x14ac:dyDescent="0.25">
      <c r="B85" s="98">
        <v>208044</v>
      </c>
      <c r="C85" s="98" t="s">
        <v>192</v>
      </c>
      <c r="D85" s="102">
        <v>1.79</v>
      </c>
    </row>
    <row r="86" spans="2:4" x14ac:dyDescent="0.25">
      <c r="B86" s="98">
        <v>311042</v>
      </c>
      <c r="C86" s="98" t="s">
        <v>193</v>
      </c>
      <c r="D86" s="102">
        <v>4.25</v>
      </c>
    </row>
    <row r="87" spans="2:4" x14ac:dyDescent="0.25">
      <c r="B87" s="98">
        <v>311041</v>
      </c>
      <c r="C87" s="98" t="s">
        <v>194</v>
      </c>
      <c r="D87" s="102">
        <v>3.78</v>
      </c>
    </row>
    <row r="88" spans="2:4" x14ac:dyDescent="0.25">
      <c r="B88" s="98">
        <v>311046</v>
      </c>
      <c r="C88" s="98" t="s">
        <v>195</v>
      </c>
      <c r="D88" s="102">
        <v>0.98</v>
      </c>
    </row>
    <row r="89" spans="2:4" x14ac:dyDescent="0.25">
      <c r="B89" s="98">
        <v>312011</v>
      </c>
      <c r="C89" s="98" t="s">
        <v>196</v>
      </c>
      <c r="D89" s="102">
        <v>3.51</v>
      </c>
    </row>
    <row r="90" spans="2:4" x14ac:dyDescent="0.25">
      <c r="B90" s="98">
        <v>311048</v>
      </c>
      <c r="C90" s="98" t="s">
        <v>197</v>
      </c>
      <c r="D90" s="102">
        <v>3.27</v>
      </c>
    </row>
    <row r="91" spans="2:4" x14ac:dyDescent="0.25">
      <c r="B91" s="98">
        <v>220417</v>
      </c>
      <c r="C91" s="98" t="s">
        <v>198</v>
      </c>
      <c r="D91" s="102">
        <v>1.1599999999999999</v>
      </c>
    </row>
    <row r="92" spans="2:4" x14ac:dyDescent="0.25">
      <c r="B92" s="98">
        <v>214038</v>
      </c>
      <c r="C92" s="98" t="s">
        <v>199</v>
      </c>
      <c r="D92" s="102">
        <v>2.19</v>
      </c>
    </row>
    <row r="93" spans="2:4" x14ac:dyDescent="0.25">
      <c r="B93" s="98">
        <v>214137</v>
      </c>
      <c r="C93" s="98" t="s">
        <v>200</v>
      </c>
      <c r="D93" s="102">
        <v>1.1599999999999999</v>
      </c>
    </row>
    <row r="94" spans="2:4" x14ac:dyDescent="0.25">
      <c r="B94" s="98">
        <v>220421</v>
      </c>
      <c r="C94" s="98" t="s">
        <v>201</v>
      </c>
      <c r="D94" s="102">
        <v>1.1599999999999999</v>
      </c>
    </row>
    <row r="95" spans="2:4" x14ac:dyDescent="0.25">
      <c r="B95" s="98">
        <v>220418</v>
      </c>
      <c r="C95" s="98" t="s">
        <v>202</v>
      </c>
      <c r="D95" s="102">
        <v>1.1599999999999999</v>
      </c>
    </row>
    <row r="96" spans="2:4" x14ac:dyDescent="0.25">
      <c r="B96" s="98">
        <v>220419</v>
      </c>
      <c r="C96" s="98" t="s">
        <v>203</v>
      </c>
      <c r="D96" s="102">
        <v>1.1599999999999999</v>
      </c>
    </row>
    <row r="97" spans="2:4" x14ac:dyDescent="0.25">
      <c r="B97" s="98">
        <v>214052</v>
      </c>
      <c r="C97" s="98" t="s">
        <v>204</v>
      </c>
      <c r="D97" s="102">
        <v>2.4900000000000002</v>
      </c>
    </row>
    <row r="98" spans="2:4" x14ac:dyDescent="0.25">
      <c r="B98" s="98">
        <v>305000</v>
      </c>
      <c r="C98" s="98" t="s">
        <v>205</v>
      </c>
      <c r="D98" s="102">
        <v>0.78</v>
      </c>
    </row>
    <row r="99" spans="2:4" x14ac:dyDescent="0.25">
      <c r="B99" s="98">
        <v>305001</v>
      </c>
      <c r="C99" s="98" t="s">
        <v>206</v>
      </c>
      <c r="D99" s="102">
        <v>0.83</v>
      </c>
    </row>
    <row r="100" spans="2:4" x14ac:dyDescent="0.25">
      <c r="B100" s="98">
        <v>311023</v>
      </c>
      <c r="C100" s="98" t="s">
        <v>207</v>
      </c>
      <c r="D100" s="102">
        <v>2.08</v>
      </c>
    </row>
    <row r="101" spans="2:4" x14ac:dyDescent="0.25">
      <c r="B101" s="98">
        <v>220150</v>
      </c>
      <c r="C101" s="98" t="s">
        <v>208</v>
      </c>
      <c r="D101" s="102">
        <v>1.41</v>
      </c>
    </row>
    <row r="102" spans="2:4" x14ac:dyDescent="0.25">
      <c r="B102" s="98">
        <v>220149</v>
      </c>
      <c r="C102" s="98" t="s">
        <v>209</v>
      </c>
      <c r="D102" s="102">
        <v>2.11</v>
      </c>
    </row>
    <row r="103" spans="2:4" x14ac:dyDescent="0.25">
      <c r="B103" s="98">
        <v>308066</v>
      </c>
      <c r="C103" s="98" t="s">
        <v>210</v>
      </c>
      <c r="D103" s="102">
        <v>2.35</v>
      </c>
    </row>
    <row r="104" spans="2:4" x14ac:dyDescent="0.25">
      <c r="B104" s="98">
        <v>308064</v>
      </c>
      <c r="C104" s="98" t="s">
        <v>211</v>
      </c>
      <c r="D104" s="102">
        <v>1.52</v>
      </c>
    </row>
    <row r="105" spans="2:4" x14ac:dyDescent="0.25">
      <c r="B105" s="98">
        <v>305005</v>
      </c>
      <c r="C105" s="98" t="s">
        <v>212</v>
      </c>
      <c r="D105" s="102">
        <v>1.22</v>
      </c>
    </row>
    <row r="106" spans="2:4" x14ac:dyDescent="0.25">
      <c r="B106" s="98">
        <v>305011</v>
      </c>
      <c r="C106" s="98" t="s">
        <v>213</v>
      </c>
      <c r="D106" s="102">
        <v>1.22</v>
      </c>
    </row>
    <row r="107" spans="2:4" x14ac:dyDescent="0.25">
      <c r="B107" s="98">
        <v>305012</v>
      </c>
      <c r="C107" s="98" t="s">
        <v>214</v>
      </c>
      <c r="D107" s="102">
        <v>1.61</v>
      </c>
    </row>
    <row r="108" spans="2:4" x14ac:dyDescent="0.25">
      <c r="B108" s="98">
        <v>305002</v>
      </c>
      <c r="C108" s="98" t="s">
        <v>215</v>
      </c>
      <c r="D108" s="102">
        <v>1.22</v>
      </c>
    </row>
    <row r="109" spans="2:4" x14ac:dyDescent="0.25">
      <c r="B109" s="98">
        <v>305010</v>
      </c>
      <c r="C109" s="98" t="s">
        <v>216</v>
      </c>
      <c r="D109" s="102">
        <v>1.22</v>
      </c>
    </row>
    <row r="110" spans="2:4" x14ac:dyDescent="0.25">
      <c r="B110" s="98">
        <v>305013</v>
      </c>
      <c r="C110" s="98" t="s">
        <v>217</v>
      </c>
      <c r="D110" s="102">
        <v>2.39</v>
      </c>
    </row>
    <row r="111" spans="2:4" x14ac:dyDescent="0.25">
      <c r="B111" s="98">
        <v>305003</v>
      </c>
      <c r="C111" s="98" t="s">
        <v>218</v>
      </c>
      <c r="D111" s="102">
        <v>1.22</v>
      </c>
    </row>
    <row r="112" spans="2:4" x14ac:dyDescent="0.25">
      <c r="B112" s="98">
        <v>305007</v>
      </c>
      <c r="C112" s="98" t="s">
        <v>219</v>
      </c>
      <c r="D112" s="102">
        <v>1.22</v>
      </c>
    </row>
    <row r="113" spans="2:4" x14ac:dyDescent="0.25">
      <c r="B113" s="98">
        <v>305004</v>
      </c>
      <c r="C113" s="98" t="s">
        <v>220</v>
      </c>
      <c r="D113" s="102">
        <v>1.22</v>
      </c>
    </row>
    <row r="114" spans="2:4" x14ac:dyDescent="0.25">
      <c r="B114" s="98">
        <v>305006</v>
      </c>
      <c r="C114" s="98" t="s">
        <v>221</v>
      </c>
      <c r="D114" s="102">
        <v>1.22</v>
      </c>
    </row>
    <row r="115" spans="2:4" x14ac:dyDescent="0.25">
      <c r="B115" s="98">
        <v>311037</v>
      </c>
      <c r="C115" s="98" t="s">
        <v>222</v>
      </c>
      <c r="D115" s="102">
        <v>0.61</v>
      </c>
    </row>
    <row r="116" spans="2:4" x14ac:dyDescent="0.25">
      <c r="B116" s="98">
        <v>208010</v>
      </c>
      <c r="C116" s="98" t="s">
        <v>223</v>
      </c>
      <c r="D116" s="102">
        <v>1.47</v>
      </c>
    </row>
    <row r="117" spans="2:4" x14ac:dyDescent="0.25">
      <c r="B117" s="98">
        <v>214302</v>
      </c>
      <c r="C117" s="98" t="s">
        <v>224</v>
      </c>
      <c r="D117" s="102">
        <v>1.79</v>
      </c>
    </row>
    <row r="118" spans="2:4" x14ac:dyDescent="0.25">
      <c r="B118" s="98">
        <v>214304</v>
      </c>
      <c r="C118" s="98" t="s">
        <v>225</v>
      </c>
      <c r="D118" s="102">
        <v>1.79</v>
      </c>
    </row>
    <row r="119" spans="2:4" x14ac:dyDescent="0.25">
      <c r="B119" s="98">
        <v>214309</v>
      </c>
      <c r="C119" s="98" t="s">
        <v>226</v>
      </c>
      <c r="D119" s="102">
        <v>1.79</v>
      </c>
    </row>
    <row r="120" spans="2:4" x14ac:dyDescent="0.25">
      <c r="B120" s="98">
        <v>214308</v>
      </c>
      <c r="C120" s="98" t="s">
        <v>227</v>
      </c>
      <c r="D120" s="102">
        <v>1.58</v>
      </c>
    </row>
  </sheetData>
  <pageMargins left="0.75" right="0.75" top="1" bottom="1" header="0.5" footer="0.5"/>
  <pageSetup paperSize="9" orientation="portrait" horizontalDpi="200" verticalDpi="2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0000"/>
  </sheetPr>
  <dimension ref="B2:Q32"/>
  <sheetViews>
    <sheetView workbookViewId="0">
      <selection activeCell="U39" sqref="U39"/>
    </sheetView>
  </sheetViews>
  <sheetFormatPr defaultColWidth="9.109375" defaultRowHeight="18" x14ac:dyDescent="0.35"/>
  <cols>
    <col min="1" max="1" width="3.33203125" style="103" customWidth="1"/>
    <col min="2" max="6" width="9.109375" style="103"/>
    <col min="7" max="7" width="14.88671875" style="103" customWidth="1"/>
    <col min="8" max="8" width="3.6640625" style="103" customWidth="1"/>
    <col min="9" max="14" width="9.109375" style="103"/>
    <col min="15" max="15" width="10.33203125" style="103" customWidth="1"/>
    <col min="16" max="16" width="3.6640625" style="103" customWidth="1"/>
    <col min="17" max="16384" width="9.109375" style="103"/>
  </cols>
  <sheetData>
    <row r="2" spans="2:17" x14ac:dyDescent="0.35">
      <c r="B2" s="103" t="s">
        <v>228</v>
      </c>
      <c r="I2" s="104" t="s">
        <v>229</v>
      </c>
      <c r="Q2" s="104" t="s">
        <v>230</v>
      </c>
    </row>
    <row r="4" spans="2:17" x14ac:dyDescent="0.35">
      <c r="B4" s="104" t="s">
        <v>231</v>
      </c>
      <c r="I4" s="104" t="s">
        <v>232</v>
      </c>
      <c r="Q4" s="104" t="s">
        <v>233</v>
      </c>
    </row>
    <row r="5" spans="2:17" x14ac:dyDescent="0.35">
      <c r="B5" s="104" t="s">
        <v>234</v>
      </c>
      <c r="I5" s="104" t="s">
        <v>235</v>
      </c>
      <c r="Q5" s="104" t="s">
        <v>236</v>
      </c>
    </row>
    <row r="6" spans="2:17" x14ac:dyDescent="0.35">
      <c r="B6" s="104" t="s">
        <v>237</v>
      </c>
      <c r="I6" s="104" t="s">
        <v>238</v>
      </c>
      <c r="Q6" s="104" t="s">
        <v>239</v>
      </c>
    </row>
    <row r="7" spans="2:17" x14ac:dyDescent="0.35">
      <c r="B7" s="104" t="s">
        <v>240</v>
      </c>
      <c r="I7" s="104" t="s">
        <v>241</v>
      </c>
      <c r="Q7" s="104" t="s">
        <v>242</v>
      </c>
    </row>
    <row r="8" spans="2:17" x14ac:dyDescent="0.35">
      <c r="B8" s="104" t="s">
        <v>243</v>
      </c>
      <c r="I8" s="104" t="s">
        <v>244</v>
      </c>
      <c r="Q8" s="104" t="s">
        <v>245</v>
      </c>
    </row>
    <row r="9" spans="2:17" x14ac:dyDescent="0.35">
      <c r="B9" s="104" t="s">
        <v>246</v>
      </c>
      <c r="I9" s="104" t="s">
        <v>247</v>
      </c>
      <c r="Q9" s="104" t="s">
        <v>248</v>
      </c>
    </row>
    <row r="10" spans="2:17" x14ac:dyDescent="0.35">
      <c r="B10" s="104" t="s">
        <v>249</v>
      </c>
      <c r="I10" s="104" t="s">
        <v>250</v>
      </c>
      <c r="Q10" s="104" t="s">
        <v>251</v>
      </c>
    </row>
    <row r="11" spans="2:17" x14ac:dyDescent="0.35">
      <c r="B11" s="104" t="s">
        <v>252</v>
      </c>
      <c r="I11" s="104" t="s">
        <v>253</v>
      </c>
      <c r="Q11" s="104" t="s">
        <v>254</v>
      </c>
    </row>
    <row r="12" spans="2:17" x14ac:dyDescent="0.35">
      <c r="B12" s="104" t="s">
        <v>255</v>
      </c>
      <c r="I12" s="104" t="s">
        <v>256</v>
      </c>
      <c r="Q12" s="104" t="s">
        <v>257</v>
      </c>
    </row>
    <row r="13" spans="2:17" x14ac:dyDescent="0.35">
      <c r="B13" s="104" t="s">
        <v>258</v>
      </c>
      <c r="I13" s="104" t="s">
        <v>259</v>
      </c>
      <c r="Q13" s="104" t="s">
        <v>260</v>
      </c>
    </row>
    <row r="14" spans="2:17" x14ac:dyDescent="0.35">
      <c r="I14" s="104" t="s">
        <v>261</v>
      </c>
      <c r="Q14" s="104" t="s">
        <v>262</v>
      </c>
    </row>
    <row r="15" spans="2:17" x14ac:dyDescent="0.35">
      <c r="I15" s="104" t="s">
        <v>263</v>
      </c>
      <c r="Q15" s="104" t="s">
        <v>264</v>
      </c>
    </row>
    <row r="16" spans="2:17" x14ac:dyDescent="0.35">
      <c r="I16" s="104" t="s">
        <v>265</v>
      </c>
      <c r="Q16" s="104" t="s">
        <v>266</v>
      </c>
    </row>
    <row r="17" spans="2:9" x14ac:dyDescent="0.35">
      <c r="I17" s="104"/>
    </row>
    <row r="18" spans="2:9" x14ac:dyDescent="0.35">
      <c r="B18" s="104" t="s">
        <v>267</v>
      </c>
      <c r="I18" s="104" t="s">
        <v>268</v>
      </c>
    </row>
    <row r="19" spans="2:9" x14ac:dyDescent="0.35">
      <c r="B19" s="104"/>
    </row>
    <row r="20" spans="2:9" x14ac:dyDescent="0.35">
      <c r="B20" s="104" t="s">
        <v>269</v>
      </c>
      <c r="I20" s="104" t="s">
        <v>270</v>
      </c>
    </row>
    <row r="21" spans="2:9" x14ac:dyDescent="0.35">
      <c r="B21" s="104" t="s">
        <v>271</v>
      </c>
      <c r="I21" s="104" t="s">
        <v>272</v>
      </c>
    </row>
    <row r="22" spans="2:9" x14ac:dyDescent="0.35">
      <c r="B22" s="104" t="s">
        <v>273</v>
      </c>
      <c r="I22" s="104" t="s">
        <v>274</v>
      </c>
    </row>
    <row r="23" spans="2:9" x14ac:dyDescent="0.35">
      <c r="B23" s="104" t="s">
        <v>275</v>
      </c>
      <c r="I23" s="104" t="s">
        <v>276</v>
      </c>
    </row>
    <row r="24" spans="2:9" x14ac:dyDescent="0.35">
      <c r="B24" s="104" t="s">
        <v>277</v>
      </c>
      <c r="I24" s="104" t="s">
        <v>278</v>
      </c>
    </row>
    <row r="25" spans="2:9" x14ac:dyDescent="0.35">
      <c r="B25" s="104" t="s">
        <v>279</v>
      </c>
      <c r="I25" s="104" t="s">
        <v>280</v>
      </c>
    </row>
    <row r="26" spans="2:9" x14ac:dyDescent="0.35">
      <c r="B26" s="104" t="s">
        <v>281</v>
      </c>
      <c r="I26" s="104" t="s">
        <v>282</v>
      </c>
    </row>
    <row r="27" spans="2:9" x14ac:dyDescent="0.35">
      <c r="B27" s="104" t="s">
        <v>283</v>
      </c>
      <c r="I27" s="104" t="s">
        <v>284</v>
      </c>
    </row>
    <row r="28" spans="2:9" x14ac:dyDescent="0.35">
      <c r="B28" s="104" t="s">
        <v>285</v>
      </c>
      <c r="I28" s="104" t="s">
        <v>286</v>
      </c>
    </row>
    <row r="29" spans="2:9" x14ac:dyDescent="0.35">
      <c r="B29" s="104" t="s">
        <v>287</v>
      </c>
      <c r="I29" s="104" t="s">
        <v>288</v>
      </c>
    </row>
    <row r="30" spans="2:9" x14ac:dyDescent="0.35">
      <c r="B30" s="104" t="s">
        <v>289</v>
      </c>
      <c r="I30" s="104" t="s">
        <v>290</v>
      </c>
    </row>
    <row r="31" spans="2:9" x14ac:dyDescent="0.35">
      <c r="B31" s="104" t="s">
        <v>291</v>
      </c>
      <c r="I31" s="104" t="s">
        <v>292</v>
      </c>
    </row>
    <row r="32" spans="2:9" x14ac:dyDescent="0.35">
      <c r="I32" s="104" t="s">
        <v>293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theme="7" tint="0.59999389629810485"/>
  </sheetPr>
  <dimension ref="B1:Y208"/>
  <sheetViews>
    <sheetView zoomScaleNormal="100" workbookViewId="0">
      <pane ySplit="1" topLeftCell="A2" activePane="bottomLeft" state="frozen"/>
      <selection activeCell="AQ31" sqref="AQ31"/>
      <selection pane="bottomLeft" activeCell="AD44" sqref="AD44"/>
    </sheetView>
  </sheetViews>
  <sheetFormatPr defaultColWidth="2.6640625" defaultRowHeight="13.2" x14ac:dyDescent="0.25"/>
  <cols>
    <col min="1" max="16384" width="2.6640625" style="2"/>
  </cols>
  <sheetData>
    <row r="1" spans="2:24" ht="21.75" customHeight="1" x14ac:dyDescent="0.25"/>
    <row r="2" spans="2:24" ht="14.25" customHeight="1" x14ac:dyDescent="0.25">
      <c r="B2" s="33" t="s">
        <v>21</v>
      </c>
      <c r="C2" s="34"/>
      <c r="D2" s="34"/>
      <c r="E2" s="34"/>
      <c r="F2" s="34"/>
      <c r="G2" s="34"/>
      <c r="H2" s="34"/>
      <c r="I2" s="34"/>
      <c r="J2" s="34"/>
      <c r="K2" s="34"/>
      <c r="L2" s="34"/>
      <c r="M2" s="34"/>
      <c r="N2" s="34"/>
      <c r="O2" s="34"/>
      <c r="P2" s="34"/>
      <c r="Q2" s="34"/>
      <c r="R2" s="34"/>
      <c r="S2" s="34"/>
      <c r="T2" s="34"/>
      <c r="U2" s="34"/>
    </row>
    <row r="3" spans="2:24" ht="14.25" customHeight="1" x14ac:dyDescent="0.25">
      <c r="B3" s="35"/>
    </row>
    <row r="4" spans="2:24" ht="14.25" customHeight="1" x14ac:dyDescent="0.3">
      <c r="B4" s="36" t="s">
        <v>22</v>
      </c>
      <c r="C4" s="37"/>
      <c r="D4" s="37"/>
      <c r="E4" s="37"/>
      <c r="F4" s="37"/>
      <c r="G4" s="37"/>
      <c r="H4" s="38"/>
      <c r="I4" s="37"/>
      <c r="J4" s="35"/>
      <c r="K4" s="35"/>
      <c r="L4" s="35"/>
      <c r="M4" s="35"/>
      <c r="N4" s="35"/>
      <c r="O4" s="35"/>
      <c r="P4" s="35"/>
      <c r="Q4" s="35"/>
      <c r="R4" s="35"/>
      <c r="S4" s="35"/>
      <c r="T4" s="35"/>
    </row>
    <row r="5" spans="2:24" ht="14.25" customHeight="1" x14ac:dyDescent="0.25">
      <c r="B5" s="35"/>
      <c r="C5" s="35"/>
      <c r="D5" s="35"/>
      <c r="E5" s="35"/>
      <c r="F5" s="35"/>
      <c r="G5" s="35"/>
      <c r="H5" s="35"/>
      <c r="I5" s="35"/>
      <c r="J5" s="35"/>
      <c r="K5" s="35"/>
      <c r="L5" s="35"/>
      <c r="M5" s="35"/>
      <c r="N5" s="35"/>
      <c r="O5" s="35"/>
      <c r="P5" s="35"/>
      <c r="Q5" s="35"/>
      <c r="R5" s="35"/>
      <c r="S5" s="35"/>
      <c r="T5" s="35"/>
      <c r="U5" s="35"/>
      <c r="V5" s="35"/>
      <c r="W5" s="35"/>
      <c r="X5" s="35"/>
    </row>
    <row r="6" spans="2:24" ht="14.25" customHeight="1" x14ac:dyDescent="0.25">
      <c r="B6" s="35"/>
      <c r="C6" s="35"/>
      <c r="D6" s="35"/>
      <c r="E6" s="35"/>
      <c r="F6" s="35"/>
      <c r="G6" s="35"/>
      <c r="H6" s="35"/>
      <c r="I6" s="35"/>
      <c r="J6" s="35"/>
      <c r="K6" s="35"/>
      <c r="L6" s="35"/>
      <c r="M6" s="35"/>
      <c r="N6" s="35"/>
      <c r="O6" s="35"/>
      <c r="P6" s="35"/>
      <c r="Q6" s="35"/>
      <c r="R6" s="35"/>
      <c r="S6" s="35"/>
      <c r="T6" s="35"/>
      <c r="U6" s="35"/>
      <c r="V6" s="35"/>
      <c r="W6" s="35"/>
      <c r="X6" s="35"/>
    </row>
    <row r="7" spans="2:24" ht="14.25" customHeight="1" x14ac:dyDescent="0.25">
      <c r="B7" s="35"/>
      <c r="C7" s="35"/>
      <c r="D7" s="35"/>
      <c r="E7" s="35"/>
      <c r="F7" s="35"/>
      <c r="G7" s="35"/>
      <c r="H7" s="35"/>
      <c r="I7" s="35"/>
      <c r="J7" s="35"/>
      <c r="K7" s="35"/>
      <c r="L7" s="35"/>
      <c r="M7" s="35"/>
      <c r="N7" s="35"/>
      <c r="O7" s="35"/>
      <c r="P7" s="35"/>
      <c r="Q7" s="35"/>
      <c r="R7" s="35"/>
      <c r="S7" s="35"/>
      <c r="T7" s="35"/>
      <c r="U7" s="35"/>
      <c r="V7" s="35"/>
      <c r="W7" s="35"/>
      <c r="X7" s="35"/>
    </row>
    <row r="8" spans="2:24" ht="14.25" customHeight="1" x14ac:dyDescent="0.25">
      <c r="B8" s="35"/>
      <c r="C8" s="35"/>
      <c r="D8" s="35"/>
      <c r="E8" s="35"/>
      <c r="F8" s="35"/>
      <c r="G8" s="35"/>
      <c r="H8" s="35"/>
      <c r="I8" s="35"/>
      <c r="J8" s="35"/>
      <c r="K8" s="35"/>
      <c r="L8" s="35"/>
      <c r="M8" s="35"/>
      <c r="N8" s="35"/>
      <c r="O8" s="35"/>
      <c r="P8" s="35"/>
      <c r="Q8" s="35"/>
      <c r="R8" s="35"/>
      <c r="S8" s="35"/>
      <c r="T8" s="35"/>
      <c r="U8" s="35"/>
      <c r="V8" s="35"/>
      <c r="W8" s="35"/>
      <c r="X8" s="35"/>
    </row>
    <row r="9" spans="2:24" ht="14.25" customHeight="1" x14ac:dyDescent="0.25">
      <c r="B9" s="35"/>
      <c r="C9" s="35"/>
      <c r="D9" s="35"/>
      <c r="E9" s="35"/>
      <c r="F9" s="35"/>
      <c r="G9" s="35"/>
      <c r="H9" s="35"/>
      <c r="I9" s="35"/>
      <c r="J9" s="35"/>
      <c r="K9" s="35"/>
      <c r="L9" s="35"/>
      <c r="M9" s="35"/>
      <c r="N9" s="35"/>
      <c r="O9" s="35"/>
      <c r="P9" s="35"/>
      <c r="Q9" s="35"/>
      <c r="R9" s="35"/>
      <c r="S9" s="35"/>
      <c r="T9" s="35"/>
      <c r="U9" s="35"/>
      <c r="V9" s="35"/>
      <c r="W9" s="35"/>
      <c r="X9" s="35"/>
    </row>
    <row r="10" spans="2:24" ht="14.25" customHeight="1" x14ac:dyDescent="0.25">
      <c r="B10" s="35"/>
      <c r="C10" s="35"/>
      <c r="D10" s="35"/>
      <c r="E10" s="35"/>
      <c r="F10" s="35"/>
      <c r="G10" s="35"/>
      <c r="H10" s="35"/>
      <c r="I10" s="35"/>
      <c r="J10" s="35"/>
      <c r="K10" s="35"/>
      <c r="L10" s="35"/>
      <c r="M10" s="35"/>
      <c r="N10" s="35"/>
      <c r="O10" s="35"/>
      <c r="P10" s="35"/>
      <c r="Q10" s="35"/>
      <c r="R10" s="35"/>
      <c r="S10" s="35"/>
      <c r="T10" s="35"/>
      <c r="U10" s="35"/>
      <c r="V10" s="35"/>
      <c r="W10" s="35"/>
      <c r="X10" s="35"/>
    </row>
    <row r="11" spans="2:24" ht="14.25" customHeight="1" x14ac:dyDescent="0.25">
      <c r="B11" s="35"/>
      <c r="C11" s="35"/>
      <c r="D11" s="35"/>
      <c r="E11" s="35"/>
      <c r="F11" s="35"/>
      <c r="G11" s="35"/>
      <c r="H11" s="35"/>
      <c r="I11" s="35"/>
      <c r="J11" s="35"/>
      <c r="K11" s="35"/>
      <c r="L11" s="35"/>
      <c r="M11" s="35"/>
      <c r="N11" s="35"/>
      <c r="O11" s="35"/>
      <c r="P11" s="35"/>
      <c r="Q11" s="35"/>
      <c r="R11" s="35"/>
      <c r="S11" s="35"/>
      <c r="T11" s="35"/>
      <c r="U11" s="35"/>
      <c r="V11" s="35"/>
      <c r="W11" s="35"/>
      <c r="X11" s="35"/>
    </row>
    <row r="12" spans="2:24" ht="14.25" customHeight="1" x14ac:dyDescent="0.25">
      <c r="B12" s="35"/>
      <c r="C12" s="35"/>
      <c r="D12" s="35"/>
      <c r="E12" s="35"/>
      <c r="F12" s="35"/>
      <c r="G12" s="35"/>
      <c r="H12" s="35"/>
      <c r="I12" s="35"/>
      <c r="J12" s="35"/>
      <c r="K12" s="35"/>
      <c r="L12" s="35"/>
      <c r="M12" s="35"/>
      <c r="N12" s="35"/>
      <c r="O12" s="35"/>
      <c r="P12" s="35"/>
      <c r="Q12" s="35"/>
      <c r="R12" s="35"/>
      <c r="S12" s="35"/>
      <c r="T12" s="35"/>
      <c r="U12" s="35"/>
      <c r="V12" s="35"/>
      <c r="W12" s="35"/>
      <c r="X12" s="35"/>
    </row>
    <row r="13" spans="2:24" ht="14.25" customHeight="1" x14ac:dyDescent="0.25">
      <c r="B13" s="35"/>
      <c r="C13" s="35"/>
      <c r="D13" s="35"/>
      <c r="E13" s="35"/>
      <c r="F13" s="35"/>
      <c r="G13" s="35"/>
      <c r="H13" s="35"/>
      <c r="I13" s="35"/>
      <c r="J13" s="35"/>
      <c r="K13" s="35"/>
      <c r="L13" s="35"/>
      <c r="M13" s="35"/>
      <c r="N13" s="35"/>
      <c r="O13" s="35"/>
      <c r="P13" s="35"/>
      <c r="Q13" s="35"/>
      <c r="R13" s="35"/>
      <c r="S13" s="35"/>
      <c r="T13" s="35"/>
      <c r="U13" s="35"/>
      <c r="V13" s="35"/>
      <c r="W13" s="35"/>
      <c r="X13" s="35"/>
    </row>
    <row r="14" spans="2:24" ht="14.25" customHeight="1" x14ac:dyDescent="0.3">
      <c r="B14" s="36" t="s">
        <v>23</v>
      </c>
      <c r="C14" s="37"/>
      <c r="D14" s="37"/>
      <c r="E14" s="37"/>
      <c r="F14" s="37"/>
      <c r="G14" s="37"/>
      <c r="H14" s="37"/>
      <c r="I14" s="37"/>
      <c r="J14" s="37"/>
      <c r="K14" s="35"/>
      <c r="L14" s="35"/>
      <c r="M14" s="35"/>
      <c r="N14" s="35"/>
      <c r="O14" s="35"/>
      <c r="P14" s="35"/>
      <c r="Q14" s="35"/>
      <c r="R14" s="35"/>
      <c r="S14" s="35"/>
      <c r="T14" s="35"/>
      <c r="U14" s="35"/>
    </row>
    <row r="15" spans="2:24" ht="14.25" customHeight="1" x14ac:dyDescent="0.25"/>
    <row r="16" spans="2:24" ht="14.25" customHeight="1" x14ac:dyDescent="0.25"/>
    <row r="17" spans="3:25" ht="14.25" customHeight="1" x14ac:dyDescent="0.25"/>
    <row r="18" spans="3:25" ht="14.25" customHeight="1" x14ac:dyDescent="0.25"/>
    <row r="19" spans="3:25" ht="14.25" customHeight="1" x14ac:dyDescent="0.25"/>
    <row r="20" spans="3:25" ht="14.25" customHeight="1" x14ac:dyDescent="0.25"/>
    <row r="21" spans="3:25" ht="14.25" customHeight="1" x14ac:dyDescent="0.25"/>
    <row r="22" spans="3:25" ht="14.25" customHeight="1" x14ac:dyDescent="0.25">
      <c r="Y22" s="35"/>
    </row>
    <row r="23" spans="3:25" ht="14.25" customHeight="1" x14ac:dyDescent="0.25"/>
    <row r="24" spans="3:25" ht="14.25" customHeight="1" x14ac:dyDescent="0.25"/>
    <row r="25" spans="3:25" ht="14.25" customHeight="1" x14ac:dyDescent="0.25"/>
    <row r="26" spans="3:25" ht="14.25" customHeight="1" x14ac:dyDescent="0.25"/>
    <row r="27" spans="3:25" ht="14.25" customHeight="1" x14ac:dyDescent="0.25"/>
    <row r="28" spans="3:25" ht="14.25" customHeight="1" x14ac:dyDescent="0.25"/>
    <row r="29" spans="3:25" ht="14.25" customHeight="1" x14ac:dyDescent="0.3">
      <c r="C29" s="39" t="s">
        <v>24</v>
      </c>
      <c r="D29" s="37"/>
      <c r="E29" s="37"/>
    </row>
    <row r="30" spans="3:25" ht="14.25" customHeight="1" x14ac:dyDescent="0.25"/>
    <row r="31" spans="3:25" ht="14.25" customHeight="1" x14ac:dyDescent="0.25"/>
    <row r="32" spans="3:25" ht="14.25" customHeight="1" x14ac:dyDescent="0.25"/>
    <row r="33" spans="3:17" ht="14.25" customHeight="1" x14ac:dyDescent="0.25"/>
    <row r="34" spans="3:17" ht="14.25" customHeight="1" x14ac:dyDescent="0.25"/>
    <row r="35" spans="3:17" ht="14.25" customHeight="1" x14ac:dyDescent="0.25"/>
    <row r="36" spans="3:17" ht="14.25" customHeight="1" x14ac:dyDescent="0.25"/>
    <row r="37" spans="3:17" ht="14.25" customHeight="1" x14ac:dyDescent="0.25"/>
    <row r="38" spans="3:17" ht="14.25" customHeight="1" x14ac:dyDescent="0.25"/>
    <row r="39" spans="3:17" ht="14.25" customHeight="1" x14ac:dyDescent="0.3">
      <c r="C39" s="40" t="s">
        <v>25</v>
      </c>
      <c r="D39" s="36"/>
      <c r="E39" s="36"/>
      <c r="F39" s="41"/>
      <c r="G39" s="41"/>
      <c r="H39" s="41"/>
      <c r="I39" s="41"/>
      <c r="J39" s="41"/>
      <c r="K39" s="41"/>
      <c r="L39" s="38"/>
      <c r="M39" s="38"/>
      <c r="N39" s="38"/>
      <c r="O39" s="38"/>
      <c r="P39" s="38"/>
      <c r="Q39" s="38"/>
    </row>
    <row r="40" spans="3:17" ht="14.25" customHeight="1" x14ac:dyDescent="0.25"/>
    <row r="41" spans="3:17" ht="14.25" customHeight="1" x14ac:dyDescent="0.25"/>
    <row r="42" spans="3:17" ht="14.25" customHeight="1" x14ac:dyDescent="0.25"/>
    <row r="43" spans="3:17" ht="14.25" customHeight="1" x14ac:dyDescent="0.25"/>
    <row r="44" spans="3:17" ht="14.25" customHeight="1" x14ac:dyDescent="0.25"/>
    <row r="45" spans="3:17" ht="14.25" customHeight="1" x14ac:dyDescent="0.25"/>
    <row r="46" spans="3:17" ht="14.25" customHeight="1" x14ac:dyDescent="0.25"/>
    <row r="47" spans="3:17" ht="14.25" customHeight="1" x14ac:dyDescent="0.25"/>
    <row r="48" spans="3:17"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sheetData>
  <pageMargins left="0.75" right="0.75" top="1" bottom="1" header="0.5" footer="0.5"/>
  <pageSetup paperSize="9" orientation="portrait" horizontalDpi="200" verticalDpi="200" r:id="rId1"/>
  <headerFooter alignWithMargins="0"/>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theme="7" tint="0.59999389629810485"/>
  </sheetPr>
  <dimension ref="C1:R6"/>
  <sheetViews>
    <sheetView showGridLines="0" showRowColHeaders="0" zoomScale="85" zoomScaleNormal="85" workbookViewId="0">
      <pane ySplit="1" topLeftCell="A2" activePane="bottomLeft" state="frozen"/>
      <selection activeCell="AQ31" sqref="AQ31"/>
      <selection pane="bottomLeft" activeCell="BX10" sqref="BX10"/>
    </sheetView>
  </sheetViews>
  <sheetFormatPr defaultColWidth="2.6640625" defaultRowHeight="14.25" customHeight="1" x14ac:dyDescent="0.25"/>
  <cols>
    <col min="1" max="16384" width="2.6640625" style="2"/>
  </cols>
  <sheetData>
    <row r="1" spans="3:18" ht="21.75" customHeight="1" x14ac:dyDescent="0.25"/>
    <row r="3" spans="3:18" ht="14.25" customHeight="1" x14ac:dyDescent="0.3">
      <c r="C3" s="42" t="s">
        <v>26</v>
      </c>
      <c r="D3" s="34"/>
      <c r="E3" s="34"/>
      <c r="F3" s="34"/>
      <c r="G3" s="34"/>
      <c r="H3" s="34"/>
      <c r="I3" s="34"/>
      <c r="J3" s="34"/>
      <c r="K3" s="34"/>
      <c r="L3" s="34"/>
      <c r="M3" s="34"/>
      <c r="N3" s="34"/>
      <c r="O3" s="34"/>
      <c r="P3" s="34"/>
      <c r="Q3" s="34"/>
    </row>
    <row r="5" spans="3:18" ht="14.25" customHeight="1" x14ac:dyDescent="0.3">
      <c r="C5" s="43"/>
      <c r="D5" s="44"/>
      <c r="E5" s="44"/>
      <c r="F5" s="44"/>
      <c r="G5" s="44"/>
      <c r="H5" s="44"/>
      <c r="I5" s="44"/>
      <c r="J5" s="44"/>
      <c r="K5" s="44"/>
      <c r="L5" s="44"/>
      <c r="M5" s="44"/>
      <c r="N5" s="44"/>
      <c r="O5" s="44"/>
      <c r="P5" s="44"/>
      <c r="Q5" s="44"/>
      <c r="R5" s="44"/>
    </row>
    <row r="6" spans="3:18" ht="14.25" customHeight="1" x14ac:dyDescent="0.3">
      <c r="C6" s="45"/>
    </row>
  </sheetData>
  <pageMargins left="0.75" right="0.75" top="1" bottom="1" header="0.5" footer="0.5"/>
  <headerFooter alignWithMargins="0"/>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theme="7" tint="0.59999389629810485"/>
  </sheetPr>
  <dimension ref="B1:J3"/>
  <sheetViews>
    <sheetView showGridLines="0" showRowColHeaders="0" workbookViewId="0">
      <selection activeCell="M27" sqref="M27"/>
    </sheetView>
  </sheetViews>
  <sheetFormatPr defaultColWidth="9.109375" defaultRowHeight="13.2" x14ac:dyDescent="0.25"/>
  <cols>
    <col min="1" max="1" width="3.33203125" style="2" customWidth="1"/>
    <col min="2" max="8" width="9.109375" style="2"/>
    <col min="9" max="9" width="10" style="2" customWidth="1"/>
    <col min="10" max="10" width="4" style="2" customWidth="1"/>
    <col min="11" max="16384" width="9.109375" style="2"/>
  </cols>
  <sheetData>
    <row r="1" spans="2:10" ht="21.75" customHeight="1" x14ac:dyDescent="0.25"/>
    <row r="3" spans="2:10" ht="17.399999999999999" x14ac:dyDescent="0.3">
      <c r="B3" s="46" t="s">
        <v>27</v>
      </c>
      <c r="C3" s="47"/>
      <c r="D3" s="47"/>
      <c r="E3" s="47"/>
      <c r="F3" s="47"/>
      <c r="G3" s="48"/>
      <c r="H3" s="48"/>
      <c r="I3" s="48"/>
      <c r="J3" s="49"/>
    </row>
  </sheetData>
  <pageMargins left="0.75" right="0.75" top="1" bottom="1" header="0.5" footer="0.5"/>
  <pageSetup paperSize="9" orientation="portrait" horizontalDpi="200" verticalDpi="200" r:id="rId1"/>
  <headerFooter alignWithMargins="0"/>
  <drawing r:id="rId2"/>
  <legacyDrawing r:id="rId3"/>
  <oleObjects>
    <mc:AlternateContent xmlns:mc="http://schemas.openxmlformats.org/markup-compatibility/2006">
      <mc:Choice Requires="x14">
        <oleObject progId="Equation.3" shapeId="3073" r:id="rId4">
          <objectPr defaultSize="0" r:id="rId5">
            <anchor moveWithCells="1">
              <from>
                <xdr:col>2</xdr:col>
                <xdr:colOff>0</xdr:colOff>
                <xdr:row>5</xdr:row>
                <xdr:rowOff>106680</xdr:rowOff>
              </from>
              <to>
                <xdr:col>4</xdr:col>
                <xdr:colOff>190500</xdr:colOff>
                <xdr:row>8</xdr:row>
                <xdr:rowOff>68580</xdr:rowOff>
              </to>
            </anchor>
          </objectPr>
        </oleObject>
      </mc:Choice>
      <mc:Fallback>
        <oleObject progId="Equation.3" shapeId="3073" r:id="rId4"/>
      </mc:Fallback>
    </mc:AlternateContent>
    <mc:AlternateContent xmlns:mc="http://schemas.openxmlformats.org/markup-compatibility/2006">
      <mc:Choice Requires="x14">
        <oleObject progId="Equation.3" shapeId="3074" r:id="rId6">
          <objectPr defaultSize="0" r:id="rId7">
            <anchor moveWithCells="1">
              <from>
                <xdr:col>2</xdr:col>
                <xdr:colOff>7620</xdr:colOff>
                <xdr:row>14</xdr:row>
                <xdr:rowOff>76200</xdr:rowOff>
              </from>
              <to>
                <xdr:col>5</xdr:col>
                <xdr:colOff>190500</xdr:colOff>
                <xdr:row>19</xdr:row>
                <xdr:rowOff>0</xdr:rowOff>
              </to>
            </anchor>
          </objectPr>
        </oleObject>
      </mc:Choice>
      <mc:Fallback>
        <oleObject progId="Equation.3" shapeId="3074" r:id="rId6"/>
      </mc:Fallback>
    </mc:AlternateContent>
    <mc:AlternateContent xmlns:mc="http://schemas.openxmlformats.org/markup-compatibility/2006">
      <mc:Choice Requires="x14">
        <oleObject progId="Equation.3" shapeId="3075" r:id="rId8">
          <objectPr defaultSize="0" r:id="rId9">
            <anchor moveWithCells="1">
              <from>
                <xdr:col>2</xdr:col>
                <xdr:colOff>7620</xdr:colOff>
                <xdr:row>10</xdr:row>
                <xdr:rowOff>60960</xdr:rowOff>
              </from>
              <to>
                <xdr:col>3</xdr:col>
                <xdr:colOff>22860</xdr:colOff>
                <xdr:row>13</xdr:row>
                <xdr:rowOff>0</xdr:rowOff>
              </to>
            </anchor>
          </objectPr>
        </oleObject>
      </mc:Choice>
      <mc:Fallback>
        <oleObject progId="Equation.3" shapeId="3075" r:id="rId8"/>
      </mc:Fallback>
    </mc:AlternateContent>
    <mc:AlternateContent xmlns:mc="http://schemas.openxmlformats.org/markup-compatibility/2006">
      <mc:Choice Requires="x14">
        <oleObject progId="Equation.3" shapeId="3076" r:id="rId10">
          <objectPr defaultSize="0" autoPict="0" r:id="rId11">
            <anchor moveWithCells="1" sizeWithCells="1">
              <from>
                <xdr:col>2</xdr:col>
                <xdr:colOff>22860</xdr:colOff>
                <xdr:row>22</xdr:row>
                <xdr:rowOff>22860</xdr:rowOff>
              </from>
              <to>
                <xdr:col>5</xdr:col>
                <xdr:colOff>464820</xdr:colOff>
                <xdr:row>27</xdr:row>
                <xdr:rowOff>30480</xdr:rowOff>
              </to>
            </anchor>
          </objectPr>
        </oleObject>
      </mc:Choice>
      <mc:Fallback>
        <oleObject progId="Equation.3" shapeId="3076"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51</vt:i4>
      </vt:variant>
    </vt:vector>
  </HeadingPairs>
  <TitlesOfParts>
    <vt:vector size="71" baseType="lpstr">
      <vt:lpstr>Tiitel</vt:lpstr>
      <vt:lpstr>Graafik1</vt:lpstr>
      <vt:lpstr>Graafiku1 näide</vt:lpstr>
      <vt:lpstr>Graafik 2</vt:lpstr>
      <vt:lpstr>Graafiku2 näide</vt:lpstr>
      <vt:lpstr>Diagramm</vt:lpstr>
      <vt:lpstr>Diagrammi_naide</vt:lpstr>
      <vt:lpstr>Fun_tab1_N</vt:lpstr>
      <vt:lpstr>Fun_tab1_N_naide</vt:lpstr>
      <vt:lpstr>Meeskond</vt:lpstr>
      <vt:lpstr>Meeskond_naide</vt:lpstr>
      <vt:lpstr>Sheet1</vt:lpstr>
      <vt:lpstr>Eelarve</vt:lpstr>
      <vt:lpstr>Hinnakiri</vt:lpstr>
      <vt:lpstr>Arve ja Arve_naide </vt:lpstr>
      <vt:lpstr>Kaubad</vt:lpstr>
      <vt:lpstr>Aegread</vt:lpstr>
      <vt:lpstr>Joonistamine</vt:lpstr>
      <vt:lpstr>Konnektorid ja skeemid</vt:lpstr>
      <vt:lpstr>Valemiredaktor</vt:lpstr>
      <vt:lpstr>'Graafik 2'!a</vt:lpstr>
      <vt:lpstr>Graafik1!a</vt:lpstr>
      <vt:lpstr>'Graafiku2 näide'!a</vt:lpstr>
      <vt:lpstr>a</vt:lpstr>
      <vt:lpstr>'Graafik 2'!aa</vt:lpstr>
      <vt:lpstr>aa</vt:lpstr>
      <vt:lpstr>Fun_tab1_N!algus</vt:lpstr>
      <vt:lpstr>algus</vt:lpstr>
      <vt:lpstr>'Graafik 2'!b</vt:lpstr>
      <vt:lpstr>Graafik1!b</vt:lpstr>
      <vt:lpstr>'Graafiku2 näide'!b</vt:lpstr>
      <vt:lpstr>b</vt:lpstr>
      <vt:lpstr>'Graafik 2'!bb</vt:lpstr>
      <vt:lpstr>bb</vt:lpstr>
      <vt:lpstr>'Graafik 2'!h</vt:lpstr>
      <vt:lpstr>Graafik1!h</vt:lpstr>
      <vt:lpstr>'Graafiku2 näide'!h</vt:lpstr>
      <vt:lpstr>h</vt:lpstr>
      <vt:lpstr>'Graafik 2'!hh</vt:lpstr>
      <vt:lpstr>hh</vt:lpstr>
      <vt:lpstr>hinnaklasse</vt:lpstr>
      <vt:lpstr>Fun_tab1_N!jaotisi</vt:lpstr>
      <vt:lpstr>jaotisi</vt:lpstr>
      <vt:lpstr>kohti_igas_klassis</vt:lpstr>
      <vt:lpstr>kohti_reas</vt:lpstr>
      <vt:lpstr>Fun_tab1_N!lõpp</vt:lpstr>
      <vt:lpstr>lõpp</vt:lpstr>
      <vt:lpstr>min</vt:lpstr>
      <vt:lpstr>'Graafik 2'!n</vt:lpstr>
      <vt:lpstr>Graafik1!n</vt:lpstr>
      <vt:lpstr>'Graafiku2 näide'!n</vt:lpstr>
      <vt:lpstr>n</vt:lpstr>
      <vt:lpstr>Nimi</vt:lpstr>
      <vt:lpstr>'Graafik 2'!nn</vt:lpstr>
      <vt:lpstr>nn</vt:lpstr>
      <vt:lpstr>Fun_tab1_N!p</vt:lpstr>
      <vt:lpstr>p</vt:lpstr>
      <vt:lpstr>Päevad</vt:lpstr>
      <vt:lpstr>ridu</vt:lpstr>
      <vt:lpstr>Fun_tab1_N!samm</vt:lpstr>
      <vt:lpstr>samm</vt:lpstr>
      <vt:lpstr>Fun_tab1_N!z</vt:lpstr>
      <vt:lpstr>z</vt:lpstr>
      <vt:lpstr>u</vt:lpstr>
      <vt:lpstr>Vanusegrupp</vt:lpstr>
      <vt:lpstr>wwwww</vt:lpstr>
      <vt:lpstr>Fun_tab1_N!x</vt:lpstr>
      <vt:lpstr>x</vt:lpstr>
      <vt:lpstr>xx</vt:lpstr>
      <vt:lpstr>Fun_tab1_N!y</vt:lpstr>
      <vt:lpstr>y</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Irina Amitan</dc:creator>
  <cp:lastModifiedBy>Edgar Muoni</cp:lastModifiedBy>
  <cp:lastPrinted>2009-10-09T11:52:06Z</cp:lastPrinted>
  <dcterms:created xsi:type="dcterms:W3CDTF">2009-10-04T12:05:11Z</dcterms:created>
  <dcterms:modified xsi:type="dcterms:W3CDTF">2024-01-15T14:02:01Z</dcterms:modified>
</cp:coreProperties>
</file>